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ESHMA\Downloads\"/>
    </mc:Choice>
  </mc:AlternateContent>
  <xr:revisionPtr revIDLastSave="0" documentId="8_{4CD30600-C0EF-4829-9DE2-2357E078E07F}" xr6:coauthVersionLast="47" xr6:coauthVersionMax="47" xr10:uidLastSave="{00000000-0000-0000-0000-000000000000}"/>
  <bookViews>
    <workbookView xWindow="-108" yWindow="-108" windowWidth="23256" windowHeight="12456" activeTab="1" xr2:uid="{00000000-000D-0000-FFFF-FFFF00000000}"/>
  </bookViews>
  <sheets>
    <sheet name="Sheet2" sheetId="5" r:id="rId1"/>
    <sheet name="Sheet1" sheetId="6" r:id="rId2"/>
    <sheet name="Assignment" sheetId="2" r:id="rId3"/>
    <sheet name="Transactions" sheetId="1" r:id="rId4"/>
    <sheet name="Formula_Guide" sheetId="3" r:id="rId5"/>
  </sheets>
  <definedNames>
    <definedName name="Slicer_Category">#N/A</definedName>
    <definedName name="Slicer_Marketing_Channel">#N/A</definedName>
    <definedName name="Slicer_Payment_Method">#N/A</definedName>
    <definedName name="Slicer_Produc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L9" i="5" l="1"/>
  <c r="AL10" i="5" s="1"/>
  <c r="AL7" i="5"/>
  <c r="AL8" i="5" s="1"/>
  <c r="AL6" i="5"/>
  <c r="AK13" i="5" l="1"/>
</calcChain>
</file>

<file path=xl/sharedStrings.xml><?xml version="1.0" encoding="utf-8"?>
<sst xmlns="http://schemas.openxmlformats.org/spreadsheetml/2006/main" count="9113" uniqueCount="615">
  <si>
    <t>Txn_ID</t>
  </si>
  <si>
    <t>Date</t>
  </si>
  <si>
    <t>Customer_ID</t>
  </si>
  <si>
    <t>Product</t>
  </si>
  <si>
    <t>Category</t>
  </si>
  <si>
    <t>Qty</t>
  </si>
  <si>
    <t>Selling_Price</t>
  </si>
  <si>
    <t>Revenue</t>
  </si>
  <si>
    <t>Unit_Cost</t>
  </si>
  <si>
    <t>COGS</t>
  </si>
  <si>
    <t>Gross_Profit</t>
  </si>
  <si>
    <t>Marketing_Channel</t>
  </si>
  <si>
    <t>Ad_Campaign</t>
  </si>
  <si>
    <t>Employee</t>
  </si>
  <si>
    <t>Rent_Allocated</t>
  </si>
  <si>
    <t>Salary_Allocated</t>
  </si>
  <si>
    <t>Utilities_Allocated</t>
  </si>
  <si>
    <t>Marketing_Cost_Allocated</t>
  </si>
  <si>
    <t>Interest</t>
  </si>
  <si>
    <t>Tax</t>
  </si>
  <si>
    <t>Depreciation</t>
  </si>
  <si>
    <t>Amortization</t>
  </si>
  <si>
    <t>Net_Profit</t>
  </si>
  <si>
    <t>Payment_Method</t>
  </si>
  <si>
    <t>New_Customer</t>
  </si>
  <si>
    <t>2026-02-21</t>
  </si>
  <si>
    <t>C1253</t>
  </si>
  <si>
    <t>Cappuccino</t>
  </si>
  <si>
    <t>Coffee</t>
  </si>
  <si>
    <t>Facebook</t>
  </si>
  <si>
    <t>Loyalty</t>
  </si>
  <si>
    <t>Asha</t>
  </si>
  <si>
    <t>UPI</t>
  </si>
  <si>
    <t>No</t>
  </si>
  <si>
    <t>2026-03-10</t>
  </si>
  <si>
    <t>C1194</t>
  </si>
  <si>
    <t>Mocha</t>
  </si>
  <si>
    <t>Instagram</t>
  </si>
  <si>
    <t>Weekend</t>
  </si>
  <si>
    <t>Rahul</t>
  </si>
  <si>
    <t>Yes</t>
  </si>
  <si>
    <t>2026-03-22</t>
  </si>
  <si>
    <t>C1223</t>
  </si>
  <si>
    <t>Tea</t>
  </si>
  <si>
    <t>Organic</t>
  </si>
  <si>
    <t>None</t>
  </si>
  <si>
    <t>Sneha</t>
  </si>
  <si>
    <t>2026-04-03</t>
  </si>
  <si>
    <t>C1091</t>
  </si>
  <si>
    <t>Sandwich</t>
  </si>
  <si>
    <t>Food</t>
  </si>
  <si>
    <t>Priya</t>
  </si>
  <si>
    <t>2026-05-14</t>
  </si>
  <si>
    <t>C1196</t>
  </si>
  <si>
    <t>Espresso</t>
  </si>
  <si>
    <t>Google</t>
  </si>
  <si>
    <t>Summer</t>
  </si>
  <si>
    <t>Card</t>
  </si>
  <si>
    <t>2026-03-04</t>
  </si>
  <si>
    <t>C1134</t>
  </si>
  <si>
    <t>2026-02-10</t>
  </si>
  <si>
    <t>C1080</t>
  </si>
  <si>
    <t>Cold Coffee</t>
  </si>
  <si>
    <t>Festival</t>
  </si>
  <si>
    <t>2026-03-02</t>
  </si>
  <si>
    <t>C1271</t>
  </si>
  <si>
    <t>Cash</t>
  </si>
  <si>
    <t>2026-06-28</t>
  </si>
  <si>
    <t>C1054</t>
  </si>
  <si>
    <t>2026-02-18</t>
  </si>
  <si>
    <t>C1090</t>
  </si>
  <si>
    <t>2026-01-11</t>
  </si>
  <si>
    <t>C1250</t>
  </si>
  <si>
    <t>2026-04-01</t>
  </si>
  <si>
    <t>C1119</t>
  </si>
  <si>
    <t>2026-05-04</t>
  </si>
  <si>
    <t>C1275</t>
  </si>
  <si>
    <t>2026-04-14</t>
  </si>
  <si>
    <t>C1040</t>
  </si>
  <si>
    <t>2026-02-22</t>
  </si>
  <si>
    <t>C1100</t>
  </si>
  <si>
    <t>John</t>
  </si>
  <si>
    <t>2026-03-05</t>
  </si>
  <si>
    <t>C1327</t>
  </si>
  <si>
    <t>2026-04-25</t>
  </si>
  <si>
    <t>C1141</t>
  </si>
  <si>
    <t>Walk-in</t>
  </si>
  <si>
    <t>2026-03-17</t>
  </si>
  <si>
    <t>C1242</t>
  </si>
  <si>
    <t>Latte</t>
  </si>
  <si>
    <t>Kiran</t>
  </si>
  <si>
    <t>2026-04-27</t>
  </si>
  <si>
    <t>C1102</t>
  </si>
  <si>
    <t>2026-05-15</t>
  </si>
  <si>
    <t>C1243</t>
  </si>
  <si>
    <t>2026-04-18</t>
  </si>
  <si>
    <t>C1269</t>
  </si>
  <si>
    <t>2026-05-02</t>
  </si>
  <si>
    <t>C1103</t>
  </si>
  <si>
    <t>2026-04-04</t>
  </si>
  <si>
    <t>C1289</t>
  </si>
  <si>
    <t>2026-01-05</t>
  </si>
  <si>
    <t>C1058</t>
  </si>
  <si>
    <t>2026-03-13</t>
  </si>
  <si>
    <t>C1200</t>
  </si>
  <si>
    <t>2026-01-15</t>
  </si>
  <si>
    <t>C1085</t>
  </si>
  <si>
    <t>2026-02-24</t>
  </si>
  <si>
    <t>C1022</t>
  </si>
  <si>
    <t>Brownie</t>
  </si>
  <si>
    <t>2026-06-15</t>
  </si>
  <si>
    <t>C1297</t>
  </si>
  <si>
    <t>C1099</t>
  </si>
  <si>
    <t>2026-06-29</t>
  </si>
  <si>
    <t>C1222</t>
  </si>
  <si>
    <t>2026-03-28</t>
  </si>
  <si>
    <t>C1005</t>
  </si>
  <si>
    <t>2026-02-06</t>
  </si>
  <si>
    <t>C1233</t>
  </si>
  <si>
    <t>2026-01-09</t>
  </si>
  <si>
    <t>C1191</t>
  </si>
  <si>
    <t>2026-06-18</t>
  </si>
  <si>
    <t>C1182</t>
  </si>
  <si>
    <t>2026-04-17</t>
  </si>
  <si>
    <t>C1346</t>
  </si>
  <si>
    <t>C1318</t>
  </si>
  <si>
    <t>2026-02-03</t>
  </si>
  <si>
    <t>C1198</t>
  </si>
  <si>
    <t>2026-03-06</t>
  </si>
  <si>
    <t>C1340</t>
  </si>
  <si>
    <t>2026-06-16</t>
  </si>
  <si>
    <t>C1088</t>
  </si>
  <si>
    <t>2026-01-28</t>
  </si>
  <si>
    <t>C1131</t>
  </si>
  <si>
    <t>2026-06-03</t>
  </si>
  <si>
    <t>2026-06-06</t>
  </si>
  <si>
    <t>C1217</t>
  </si>
  <si>
    <t>2026-06-13</t>
  </si>
  <si>
    <t>2026-02-28</t>
  </si>
  <si>
    <t>C1228</t>
  </si>
  <si>
    <t>C1077</t>
  </si>
  <si>
    <t>2026-02-19</t>
  </si>
  <si>
    <t>C1300</t>
  </si>
  <si>
    <t>2026-03-19</t>
  </si>
  <si>
    <t>C1087</t>
  </si>
  <si>
    <t>2026-03-30</t>
  </si>
  <si>
    <t>C1057</t>
  </si>
  <si>
    <t>2026-05-16</t>
  </si>
  <si>
    <t>C1295</t>
  </si>
  <si>
    <t>2026-01-03</t>
  </si>
  <si>
    <t>C1106</t>
  </si>
  <si>
    <t>C1053</t>
  </si>
  <si>
    <t>2026-06-25</t>
  </si>
  <si>
    <t>C1249</t>
  </si>
  <si>
    <t>2026-06-21</t>
  </si>
  <si>
    <t>2026-05-03</t>
  </si>
  <si>
    <t>C1075</t>
  </si>
  <si>
    <t>2026-05-17</t>
  </si>
  <si>
    <t>C1118</t>
  </si>
  <si>
    <t>2026-01-20</t>
  </si>
  <si>
    <t>C1262</t>
  </si>
  <si>
    <t>2026-01-01</t>
  </si>
  <si>
    <t>C1330</t>
  </si>
  <si>
    <t>C1286</t>
  </si>
  <si>
    <t>C1004</t>
  </si>
  <si>
    <t>C1056</t>
  </si>
  <si>
    <t>2026-04-21</t>
  </si>
  <si>
    <t>C1280</t>
  </si>
  <si>
    <t>2026-04-13</t>
  </si>
  <si>
    <t>C1139</t>
  </si>
  <si>
    <t>2026-05-26</t>
  </si>
  <si>
    <t>C1270</t>
  </si>
  <si>
    <t>2026-06-22</t>
  </si>
  <si>
    <t>C1208</t>
  </si>
  <si>
    <t>2026-05-19</t>
  </si>
  <si>
    <t>C1272</t>
  </si>
  <si>
    <t>C1013</t>
  </si>
  <si>
    <t>2026-01-29</t>
  </si>
  <si>
    <t>C1163</t>
  </si>
  <si>
    <t>C1260</t>
  </si>
  <si>
    <t>2026-02-17</t>
  </si>
  <si>
    <t>C1055</t>
  </si>
  <si>
    <t>2026-03-12</t>
  </si>
  <si>
    <t>C1245</t>
  </si>
  <si>
    <t>C1252</t>
  </si>
  <si>
    <t>C1254</t>
  </si>
  <si>
    <t>C1344</t>
  </si>
  <si>
    <t>C1263</t>
  </si>
  <si>
    <t>2026-01-02</t>
  </si>
  <si>
    <t>C1047</t>
  </si>
  <si>
    <t>C1273</t>
  </si>
  <si>
    <t>2026-05-21</t>
  </si>
  <si>
    <t>C1324</t>
  </si>
  <si>
    <t>2026-02-11</t>
  </si>
  <si>
    <t>C1031</t>
  </si>
  <si>
    <t>2026-05-22</t>
  </si>
  <si>
    <t>C1128</t>
  </si>
  <si>
    <t>C1069</t>
  </si>
  <si>
    <t>2026-03-11</t>
  </si>
  <si>
    <t>C1018</t>
  </si>
  <si>
    <t>2026-06-02</t>
  </si>
  <si>
    <t>2026-02-13</t>
  </si>
  <si>
    <t>C1227</t>
  </si>
  <si>
    <t>2026-05-11</t>
  </si>
  <si>
    <t>C1095</t>
  </si>
  <si>
    <t>2026-03-24</t>
  </si>
  <si>
    <t>C1073</t>
  </si>
  <si>
    <t>2026-05-28</t>
  </si>
  <si>
    <t>C1129</t>
  </si>
  <si>
    <t>2026-06-01</t>
  </si>
  <si>
    <t>C1268</t>
  </si>
  <si>
    <t>2026-02-09</t>
  </si>
  <si>
    <t>C1246</t>
  </si>
  <si>
    <t>2026-01-24</t>
  </si>
  <si>
    <t>2026-03-01</t>
  </si>
  <si>
    <t>2026-02-16</t>
  </si>
  <si>
    <t>2026-03-25</t>
  </si>
  <si>
    <t>C1301</t>
  </si>
  <si>
    <t>C1154</t>
  </si>
  <si>
    <t>2026-01-18</t>
  </si>
  <si>
    <t>C1277</t>
  </si>
  <si>
    <t>2026-04-07</t>
  </si>
  <si>
    <t>C1302</t>
  </si>
  <si>
    <t>C1107</t>
  </si>
  <si>
    <t>C1049</t>
  </si>
  <si>
    <t>2026-02-05</t>
  </si>
  <si>
    <t>C1132</t>
  </si>
  <si>
    <t>2026-04-08</t>
  </si>
  <si>
    <t>C1147</t>
  </si>
  <si>
    <t>2026-05-12</t>
  </si>
  <si>
    <t>C1323</t>
  </si>
  <si>
    <t>2026-03-07</t>
  </si>
  <si>
    <t>C1171</t>
  </si>
  <si>
    <t>2026-01-08</t>
  </si>
  <si>
    <t>C1284</t>
  </si>
  <si>
    <t>C1060</t>
  </si>
  <si>
    <t>2026-05-29</t>
  </si>
  <si>
    <t>C1332</t>
  </si>
  <si>
    <t>2026-05-27</t>
  </si>
  <si>
    <t>C1159</t>
  </si>
  <si>
    <t>2026-03-31</t>
  </si>
  <si>
    <t>C1167</t>
  </si>
  <si>
    <t>C1183</t>
  </si>
  <si>
    <t>2026-04-12</t>
  </si>
  <si>
    <t>C1218</t>
  </si>
  <si>
    <t>2026-03-14</t>
  </si>
  <si>
    <t>C1007</t>
  </si>
  <si>
    <t>2026-03-26</t>
  </si>
  <si>
    <t>C1035</t>
  </si>
  <si>
    <t>2026-02-26</t>
  </si>
  <si>
    <t>C1312</t>
  </si>
  <si>
    <t>C1121</t>
  </si>
  <si>
    <t>C1036</t>
  </si>
  <si>
    <t>2026-01-12</t>
  </si>
  <si>
    <t>C1043</t>
  </si>
  <si>
    <t>C1339</t>
  </si>
  <si>
    <t>2026-06-23</t>
  </si>
  <si>
    <t>C1153</t>
  </si>
  <si>
    <t>2026-06-20</t>
  </si>
  <si>
    <t>C1042</t>
  </si>
  <si>
    <t>C1028</t>
  </si>
  <si>
    <t>C1041</t>
  </si>
  <si>
    <t>2026-04-29</t>
  </si>
  <si>
    <t>2026-05-10</t>
  </si>
  <si>
    <t>2026-01-30</t>
  </si>
  <si>
    <t>C1172</t>
  </si>
  <si>
    <t>2026-05-06</t>
  </si>
  <si>
    <t>C1264</t>
  </si>
  <si>
    <t>2026-05-08</t>
  </si>
  <si>
    <t>C1341</t>
  </si>
  <si>
    <t>C1021</t>
  </si>
  <si>
    <t>2026-06-11</t>
  </si>
  <si>
    <t>C1206</t>
  </si>
  <si>
    <t>C1122</t>
  </si>
  <si>
    <t>C1083</t>
  </si>
  <si>
    <t>C1133</t>
  </si>
  <si>
    <t>C1338</t>
  </si>
  <si>
    <t>2026-02-27</t>
  </si>
  <si>
    <t>C1066</t>
  </si>
  <si>
    <t>2026-02-04</t>
  </si>
  <si>
    <t>C1204</t>
  </si>
  <si>
    <t>2026-06-04</t>
  </si>
  <si>
    <t>C1064</t>
  </si>
  <si>
    <t>C1161</t>
  </si>
  <si>
    <t>2026-04-28</t>
  </si>
  <si>
    <t>2026-02-14</t>
  </si>
  <si>
    <t>C1178</t>
  </si>
  <si>
    <t>2026-04-26</t>
  </si>
  <si>
    <t>C1313</t>
  </si>
  <si>
    <t>C1152</t>
  </si>
  <si>
    <t>C1039</t>
  </si>
  <si>
    <t>2026-02-01</t>
  </si>
  <si>
    <t>C1104</t>
  </si>
  <si>
    <t>2026-05-13</t>
  </si>
  <si>
    <t>C1158</t>
  </si>
  <si>
    <t>2026-04-23</t>
  </si>
  <si>
    <t>C1076</t>
  </si>
  <si>
    <t>C1195</t>
  </si>
  <si>
    <t>2026-03-16</t>
  </si>
  <si>
    <t>C1033</t>
  </si>
  <si>
    <t>2026-04-09</t>
  </si>
  <si>
    <t>2026-03-23</t>
  </si>
  <si>
    <t>2026-01-06</t>
  </si>
  <si>
    <t>2026-05-25</t>
  </si>
  <si>
    <t>C1251</t>
  </si>
  <si>
    <t>C1045</t>
  </si>
  <si>
    <t>2026-04-30</t>
  </si>
  <si>
    <t>2026-02-12</t>
  </si>
  <si>
    <t>C1034</t>
  </si>
  <si>
    <t>2026-01-31</t>
  </si>
  <si>
    <t>C1305</t>
  </si>
  <si>
    <t>C1093</t>
  </si>
  <si>
    <t>2026-06-05</t>
  </si>
  <si>
    <t>C1026</t>
  </si>
  <si>
    <t>2026-05-23</t>
  </si>
  <si>
    <t>C1303</t>
  </si>
  <si>
    <t>C1062</t>
  </si>
  <si>
    <t>2026-03-08</t>
  </si>
  <si>
    <t>C1230</t>
  </si>
  <si>
    <t>C1051</t>
  </si>
  <si>
    <t>2026-02-08</t>
  </si>
  <si>
    <t>C1314</t>
  </si>
  <si>
    <t>C1130</t>
  </si>
  <si>
    <t>C1179</t>
  </si>
  <si>
    <t>C1276</t>
  </si>
  <si>
    <t>2026-01-13</t>
  </si>
  <si>
    <t>C1311</t>
  </si>
  <si>
    <t>2026-01-16</t>
  </si>
  <si>
    <t>2026-05-18</t>
  </si>
  <si>
    <t>C1319</t>
  </si>
  <si>
    <t>2026-06-12</t>
  </si>
  <si>
    <t>C1219</t>
  </si>
  <si>
    <t>C1267</t>
  </si>
  <si>
    <t>C1068</t>
  </si>
  <si>
    <t>2026-01-27</t>
  </si>
  <si>
    <t>C1164</t>
  </si>
  <si>
    <t>2026-01-14</t>
  </si>
  <si>
    <t>C1187</t>
  </si>
  <si>
    <t>C1334</t>
  </si>
  <si>
    <t>C1298</t>
  </si>
  <si>
    <t>2026-01-10</t>
  </si>
  <si>
    <t>C1146</t>
  </si>
  <si>
    <t>2026-04-20</t>
  </si>
  <si>
    <t>C1192</t>
  </si>
  <si>
    <t>2026-01-19</t>
  </si>
  <si>
    <t>C1238</t>
  </si>
  <si>
    <t>2026-05-07</t>
  </si>
  <si>
    <t>C1201</t>
  </si>
  <si>
    <t>C1123</t>
  </si>
  <si>
    <t>C1084</t>
  </si>
  <si>
    <t>2026-01-04</t>
  </si>
  <si>
    <t>2026-02-07</t>
  </si>
  <si>
    <t>C1015</t>
  </si>
  <si>
    <t>C1025</t>
  </si>
  <si>
    <t>C1184</t>
  </si>
  <si>
    <t>C1052</t>
  </si>
  <si>
    <t>2026-04-05</t>
  </si>
  <si>
    <t>C1212</t>
  </si>
  <si>
    <t>C1116</t>
  </si>
  <si>
    <t>C1027</t>
  </si>
  <si>
    <t>C1231</t>
  </si>
  <si>
    <t>C1140</t>
  </si>
  <si>
    <t>C1149</t>
  </si>
  <si>
    <t>C1213</t>
  </si>
  <si>
    <t>C1216</t>
  </si>
  <si>
    <t>2026-02-25</t>
  </si>
  <si>
    <t>C1236</t>
  </si>
  <si>
    <t>C1328</t>
  </si>
  <si>
    <t>C1061</t>
  </si>
  <si>
    <t>C1350</t>
  </si>
  <si>
    <t>C1235</t>
  </si>
  <si>
    <t>C1247</t>
  </si>
  <si>
    <t>C1170</t>
  </si>
  <si>
    <t>C1105</t>
  </si>
  <si>
    <t>C1310</t>
  </si>
  <si>
    <t>C1144</t>
  </si>
  <si>
    <t>2026-04-02</t>
  </si>
  <si>
    <t>C1148</t>
  </si>
  <si>
    <t>C1142</t>
  </si>
  <si>
    <t>2026-04-19</t>
  </si>
  <si>
    <t>C1257</t>
  </si>
  <si>
    <t>C1345</t>
  </si>
  <si>
    <t>C1199</t>
  </si>
  <si>
    <t>2026-06-24</t>
  </si>
  <si>
    <t>C1113</t>
  </si>
  <si>
    <t>C1347</t>
  </si>
  <si>
    <t>2026-03-27</t>
  </si>
  <si>
    <t>C1258</t>
  </si>
  <si>
    <t>2026-03-29</t>
  </si>
  <si>
    <t>C1203</t>
  </si>
  <si>
    <t>C1111</t>
  </si>
  <si>
    <t>C1255</t>
  </si>
  <si>
    <t>C1168</t>
  </si>
  <si>
    <t>C1176</t>
  </si>
  <si>
    <t>2026-04-06</t>
  </si>
  <si>
    <t>C1205</t>
  </si>
  <si>
    <t>2026-06-09</t>
  </si>
  <si>
    <t>C1169</t>
  </si>
  <si>
    <t>2026-05-30</t>
  </si>
  <si>
    <t>C1177</t>
  </si>
  <si>
    <t>C1135</t>
  </si>
  <si>
    <t>2026-01-07</t>
  </si>
  <si>
    <t>C1174</t>
  </si>
  <si>
    <t>C1096</t>
  </si>
  <si>
    <t>2026-05-05</t>
  </si>
  <si>
    <t>C1050</t>
  </si>
  <si>
    <t>C1112</t>
  </si>
  <si>
    <t>C1126</t>
  </si>
  <si>
    <t>C1071</t>
  </si>
  <si>
    <t>C1082</t>
  </si>
  <si>
    <t>C1265</t>
  </si>
  <si>
    <t>C1308</t>
  </si>
  <si>
    <t>C1266</t>
  </si>
  <si>
    <t>C1030</t>
  </si>
  <si>
    <t>2026-02-15</t>
  </si>
  <si>
    <t>C1220</t>
  </si>
  <si>
    <t>C1063</t>
  </si>
  <si>
    <t>C1226</t>
  </si>
  <si>
    <t>C1214</t>
  </si>
  <si>
    <t>2026-04-11</t>
  </si>
  <si>
    <t>C1078</t>
  </si>
  <si>
    <t>2026-01-25</t>
  </si>
  <si>
    <t>C1281</t>
  </si>
  <si>
    <t>C1315</t>
  </si>
  <si>
    <t>2026-05-01</t>
  </si>
  <si>
    <t>2026-01-17</t>
  </si>
  <si>
    <t>2026-01-23</t>
  </si>
  <si>
    <t>C1211</t>
  </si>
  <si>
    <t>C1274</t>
  </si>
  <si>
    <t>C1185</t>
  </si>
  <si>
    <t>C1024</t>
  </si>
  <si>
    <t>2026-01-26</t>
  </si>
  <si>
    <t>C1110</t>
  </si>
  <si>
    <t>2026-05-09</t>
  </si>
  <si>
    <t>C1127</t>
  </si>
  <si>
    <t>C1094</t>
  </si>
  <si>
    <t>C1115</t>
  </si>
  <si>
    <t>C1145</t>
  </si>
  <si>
    <t>C1097</t>
  </si>
  <si>
    <t>C1336</t>
  </si>
  <si>
    <t>2026-06-17</t>
  </si>
  <si>
    <t>C1321</t>
  </si>
  <si>
    <t>C1291</t>
  </si>
  <si>
    <t>C1294</t>
  </si>
  <si>
    <t>2026-06-27</t>
  </si>
  <si>
    <t>C1306</t>
  </si>
  <si>
    <t>C1098</t>
  </si>
  <si>
    <t>C1074</t>
  </si>
  <si>
    <t>C1349</t>
  </si>
  <si>
    <t>C1239</t>
  </si>
  <si>
    <t>C1008</t>
  </si>
  <si>
    <t>C1009</t>
  </si>
  <si>
    <t>2026-06-07</t>
  </si>
  <si>
    <t>2026-02-20</t>
  </si>
  <si>
    <t>2026-03-20</t>
  </si>
  <si>
    <t>C1234</t>
  </si>
  <si>
    <t>C1114</t>
  </si>
  <si>
    <t>C1221</t>
  </si>
  <si>
    <t>C1086</t>
  </si>
  <si>
    <t>2026-03-15</t>
  </si>
  <si>
    <t>C1138</t>
  </si>
  <si>
    <t>C1003</t>
  </si>
  <si>
    <t>C1011</t>
  </si>
  <si>
    <t>C1002</t>
  </si>
  <si>
    <t>C1283</t>
  </si>
  <si>
    <t>C1290</t>
  </si>
  <si>
    <t>2026-05-20</t>
  </si>
  <si>
    <t>2026-01-22</t>
  </si>
  <si>
    <t>C1279</t>
  </si>
  <si>
    <t>C1108</t>
  </si>
  <si>
    <t>C1046</t>
  </si>
  <si>
    <t>C1348</t>
  </si>
  <si>
    <t>2026-03-18</t>
  </si>
  <si>
    <t>C1292</t>
  </si>
  <si>
    <t>C1070</t>
  </si>
  <si>
    <t>2026-02-23</t>
  </si>
  <si>
    <t>C1307</t>
  </si>
  <si>
    <t>C1029</t>
  </si>
  <si>
    <t>2026-06-08</t>
  </si>
  <si>
    <t>C1331</t>
  </si>
  <si>
    <t>C1023</t>
  </si>
  <si>
    <t>C1012</t>
  </si>
  <si>
    <t>C1160</t>
  </si>
  <si>
    <t>2026-04-24</t>
  </si>
  <si>
    <t>C1322</t>
  </si>
  <si>
    <t>C1136</t>
  </si>
  <si>
    <t>C1278</t>
  </si>
  <si>
    <t>C1225</t>
  </si>
  <si>
    <t>2026-04-10</t>
  </si>
  <si>
    <t>C1197</t>
  </si>
  <si>
    <t>C1065</t>
  </si>
  <si>
    <t>2026-04-22</t>
  </si>
  <si>
    <t>C1143</t>
  </si>
  <si>
    <t>C1188</t>
  </si>
  <si>
    <t>C1326</t>
  </si>
  <si>
    <t>C1017</t>
  </si>
  <si>
    <t>C1309</t>
  </si>
  <si>
    <t>C1304</t>
  </si>
  <si>
    <t>C1293</t>
  </si>
  <si>
    <t>C1006</t>
  </si>
  <si>
    <t>2026-06-26</t>
  </si>
  <si>
    <t>2026-03-03</t>
  </si>
  <si>
    <t>2026-02-02</t>
  </si>
  <si>
    <t>C1016</t>
  </si>
  <si>
    <t>C1165</t>
  </si>
  <si>
    <t>C1156</t>
  </si>
  <si>
    <t>C1337</t>
  </si>
  <si>
    <t>2026-05-24</t>
  </si>
  <si>
    <t>C1296</t>
  </si>
  <si>
    <t>C1316</t>
  </si>
  <si>
    <t>C1287</t>
  </si>
  <si>
    <t>C1059</t>
  </si>
  <si>
    <t>C1175</t>
  </si>
  <si>
    <t>2026-06-19</t>
  </si>
  <si>
    <t>C1101</t>
  </si>
  <si>
    <t>2026-04-15</t>
  </si>
  <si>
    <t>C1325</t>
  </si>
  <si>
    <t>C1244</t>
  </si>
  <si>
    <t>2026-06-10</t>
  </si>
  <si>
    <t>C1150</t>
  </si>
  <si>
    <t>C1193</t>
  </si>
  <si>
    <t>2026-03-21</t>
  </si>
  <si>
    <t>C1335</t>
  </si>
  <si>
    <t>C1288</t>
  </si>
  <si>
    <t>2026-05-31</t>
  </si>
  <si>
    <t>C1044</t>
  </si>
  <si>
    <t>C1079</t>
  </si>
  <si>
    <t>C1048</t>
  </si>
  <si>
    <t>C1261</t>
  </si>
  <si>
    <t>C1342</t>
  </si>
  <si>
    <t>C1232</t>
  </si>
  <si>
    <t>2026-04-16</t>
  </si>
  <si>
    <t>C1209</t>
  </si>
  <si>
    <t>2026-06-14</t>
  </si>
  <si>
    <t>C1333</t>
  </si>
  <si>
    <t>C1181</t>
  </si>
  <si>
    <t>C1151</t>
  </si>
  <si>
    <t>C1032</t>
  </si>
  <si>
    <t>C1299</t>
  </si>
  <si>
    <t>2026-01-21</t>
  </si>
  <si>
    <t>C1089</t>
  </si>
  <si>
    <t>C1237</t>
  </si>
  <si>
    <t>2026-03-09</t>
  </si>
  <si>
    <t>C1072</t>
  </si>
  <si>
    <t>C1166</t>
  </si>
  <si>
    <t>C1173</t>
  </si>
  <si>
    <t>C1207</t>
  </si>
  <si>
    <t>C1224</t>
  </si>
  <si>
    <t>C1215</t>
  </si>
  <si>
    <t>C1202</t>
  </si>
  <si>
    <t>C1010</t>
  </si>
  <si>
    <t>C1001</t>
  </si>
  <si>
    <t>C1067</t>
  </si>
  <si>
    <t>C1117</t>
  </si>
  <si>
    <t>C1343</t>
  </si>
  <si>
    <t>C1092</t>
  </si>
  <si>
    <t>C1186</t>
  </si>
  <si>
    <t>C1241</t>
  </si>
  <si>
    <t>C1229</t>
  </si>
  <si>
    <t>C1259</t>
  </si>
  <si>
    <t>C1329</t>
  </si>
  <si>
    <t>Financial &amp; Revenue Analytics Assignment</t>
  </si>
  <si>
    <t>Calculate Revenue</t>
  </si>
  <si>
    <t>Calculate COGS</t>
  </si>
  <si>
    <t>Calculate Gross Profit</t>
  </si>
  <si>
    <t>Calculate Net Profit</t>
  </si>
  <si>
    <t>Calculate Gross Margin %</t>
  </si>
  <si>
    <t>Calculate Net Margin %</t>
  </si>
  <si>
    <t>Calculate EBITDA</t>
  </si>
  <si>
    <t>Calculate ROI (Investment ₹5,00,000)</t>
  </si>
  <si>
    <t>Calculate ROAS</t>
  </si>
  <si>
    <t>Calculate CAC</t>
  </si>
  <si>
    <t>Calculate LTV</t>
  </si>
  <si>
    <t>Calculate Break-even Quantity (Fixed Cost ₹8,00,000)</t>
  </si>
  <si>
    <t>Top Products</t>
  </si>
  <si>
    <t>Top Employees</t>
  </si>
  <si>
    <t>Revenue by Marketing Channel</t>
  </si>
  <si>
    <t>Build Dashboard</t>
  </si>
  <si>
    <t>Write Insights</t>
  </si>
  <si>
    <t>Business Recommendations</t>
  </si>
  <si>
    <t>Qty×Selling Price</t>
  </si>
  <si>
    <t>Qty×Unit Cost</t>
  </si>
  <si>
    <t>Gross Profit</t>
  </si>
  <si>
    <t>Revenue-COGS</t>
  </si>
  <si>
    <t>Net Profit</t>
  </si>
  <si>
    <t>Gross Profit-All Expenses</t>
  </si>
  <si>
    <t>Gross Margin %</t>
  </si>
  <si>
    <t>Gross Profit/Revenue×100</t>
  </si>
  <si>
    <t>Net Margin %</t>
  </si>
  <si>
    <t>Net Profit/Revenue×100</t>
  </si>
  <si>
    <t>EBITDA</t>
  </si>
  <si>
    <t>Net Profit+Interest+Tax+Depreciation+Amortization</t>
  </si>
  <si>
    <t>ROI</t>
  </si>
  <si>
    <t>Profit/Investment×100</t>
  </si>
  <si>
    <t>ROAS</t>
  </si>
  <si>
    <t>Revenue from Ads/Ad Spend</t>
  </si>
  <si>
    <t>CAC</t>
  </si>
  <si>
    <t>Marketing Cost/New Customers</t>
  </si>
  <si>
    <t>LTV</t>
  </si>
  <si>
    <t>Average Revenue per Customer×Purchase Frequency</t>
  </si>
  <si>
    <t>Break-even Qty</t>
  </si>
  <si>
    <t>Fixed Cost/(Selling Price-Unit Cost)</t>
  </si>
  <si>
    <t>Sum of Revenue</t>
  </si>
  <si>
    <t>Sum of COGS</t>
  </si>
  <si>
    <t>Sum of Gross_Profit</t>
  </si>
  <si>
    <t>Sum of Net_Profit</t>
  </si>
  <si>
    <t>Row Labels</t>
  </si>
  <si>
    <t>Grand Total</t>
  </si>
  <si>
    <t>**Mocha Was the top product which revenue is 70180</t>
  </si>
  <si>
    <t>** kiran was the highest revenue</t>
  </si>
  <si>
    <t>** FaceBook was the highest marketing channel</t>
  </si>
  <si>
    <t>Sum of Tax</t>
  </si>
  <si>
    <t>Sum of Depreciation</t>
  </si>
  <si>
    <t>Sum of Amortization</t>
  </si>
  <si>
    <t>Sum of Interest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</si>
</sst>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3" x14ac:knownFonts="1">
    <font>
      <sz val="11"/>
      <color theme="1"/>
      <name val="Calibri"/>
      <family val="2"/>
      <scheme val="minor"/>
    </font>
    <font>
      <b/>
      <sz val="11"/>
      <name val="Calibri"/>
      <family val="2"/>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9">
    <xf numFmtId="0" fontId="0" fillId="0" borderId="0" xfId="0"/>
    <xf numFmtId="0" fontId="1" fillId="0" borderId="0" xfId="0" applyFont="1"/>
    <xf numFmtId="0" fontId="0" fillId="2" borderId="0" xfId="0" applyFill="1"/>
    <xf numFmtId="0" fontId="0" fillId="0" borderId="0" xfId="0" applyAlignment="1">
      <alignment horizontal="left"/>
    </xf>
    <xf numFmtId="164" fontId="0" fillId="0" borderId="0" xfId="1" applyNumberFormat="1" applyFont="1"/>
    <xf numFmtId="9" fontId="0" fillId="0" borderId="0" xfId="2" applyFont="1"/>
    <xf numFmtId="1" fontId="0" fillId="0" borderId="0" xfId="0" applyNumberFormat="1"/>
    <xf numFmtId="0" fontId="0" fillId="0" borderId="0" xfId="0" applyNumberFormat="1"/>
    <xf numFmtId="164" fontId="0" fillId="0" borderId="0" xfId="0" applyNumberFormat="1"/>
  </cellXfs>
  <cellStyles count="3">
    <cellStyle name="Comma" xfId="1" builtinId="3"/>
    <cellStyle name="Normal" xfId="0" builtinId="0"/>
    <cellStyle name="Percent" xfId="2" builtinId="5"/>
  </cellStyles>
  <dxfs count="302">
    <dxf>
      <numFmt numFmtId="165" formatCode="_ * #,##0.0_ ;_ * \-#,##0.0_ ;_ * &quot;-&quot;??_ ;_ @_ "/>
    </dxf>
    <dxf>
      <numFmt numFmtId="164" formatCode="_ * #,##0_ ;_ * \-#,##0_ ;_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5" formatCode="_ * #,##0.0_ ;_ * \-#,##0.0_ ;_ * &quot;-&quot;??_ ;_ @_ "/>
    </dxf>
    <dxf>
      <numFmt numFmtId="35" formatCode="_ * #,##0.00_ ;_ * \-#,##0.00_ ;_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35" formatCode="_ * #,##0.00_ ;_ * \-#,##0.00_ ;_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[Financial_Revenue_Analytics_Project_1000_Records.xlsx]Sheet2!PivotTable5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Sheet2!$J$3</c:f>
              <c:strCache>
                <c:ptCount val="1"/>
                <c:pt idx="0">
                  <c:v>Total</c:v>
                </c:pt>
              </c:strCache>
            </c:strRef>
          </c:tx>
          <c:spPr>
            <a:solidFill>
              <a:schemeClr val="accent1"/>
            </a:solidFill>
            <a:ln>
              <a:noFill/>
            </a:ln>
            <a:effectLst/>
            <a:sp3d/>
          </c:spPr>
          <c:invertIfNegative val="0"/>
          <c:cat>
            <c:strRef>
              <c:f>Sheet2!$I$4:$I$12</c:f>
              <c:strCache>
                <c:ptCount val="8"/>
                <c:pt idx="0">
                  <c:v>Brownie</c:v>
                </c:pt>
                <c:pt idx="1">
                  <c:v>Cappuccino</c:v>
                </c:pt>
                <c:pt idx="2">
                  <c:v>Cold Coffee</c:v>
                </c:pt>
                <c:pt idx="3">
                  <c:v>Espresso</c:v>
                </c:pt>
                <c:pt idx="4">
                  <c:v>Latte</c:v>
                </c:pt>
                <c:pt idx="5">
                  <c:v>Mocha</c:v>
                </c:pt>
                <c:pt idx="6">
                  <c:v>Sandwich</c:v>
                </c:pt>
                <c:pt idx="7">
                  <c:v>Tea</c:v>
                </c:pt>
              </c:strCache>
            </c:strRef>
          </c:cat>
          <c:val>
            <c:numRef>
              <c:f>Sheet2!$J$4:$J$12</c:f>
              <c:numCache>
                <c:formatCode>General</c:formatCode>
                <c:ptCount val="8"/>
                <c:pt idx="0">
                  <c:v>44400</c:v>
                </c:pt>
                <c:pt idx="1">
                  <c:v>64400</c:v>
                </c:pt>
                <c:pt idx="2">
                  <c:v>60000</c:v>
                </c:pt>
                <c:pt idx="3">
                  <c:v>36240</c:v>
                </c:pt>
                <c:pt idx="4">
                  <c:v>56520</c:v>
                </c:pt>
                <c:pt idx="5">
                  <c:v>70180</c:v>
                </c:pt>
                <c:pt idx="6">
                  <c:v>44640</c:v>
                </c:pt>
                <c:pt idx="7">
                  <c:v>27440</c:v>
                </c:pt>
              </c:numCache>
            </c:numRef>
          </c:val>
          <c:extLst>
            <c:ext xmlns:c16="http://schemas.microsoft.com/office/drawing/2014/chart" uri="{C3380CC4-5D6E-409C-BE32-E72D297353CC}">
              <c16:uniqueId val="{00000000-3E7A-46B7-8BE7-C48226DADDF1}"/>
            </c:ext>
          </c:extLst>
        </c:ser>
        <c:dLbls>
          <c:showLegendKey val="0"/>
          <c:showVal val="0"/>
          <c:showCatName val="0"/>
          <c:showSerName val="0"/>
          <c:showPercent val="0"/>
          <c:showBubbleSize val="0"/>
        </c:dLbls>
        <c:gapWidth val="150"/>
        <c:shape val="box"/>
        <c:axId val="935785711"/>
        <c:axId val="569729327"/>
        <c:axId val="0"/>
      </c:bar3DChart>
      <c:catAx>
        <c:axId val="935785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729327"/>
        <c:crosses val="autoZero"/>
        <c:auto val="1"/>
        <c:lblAlgn val="ctr"/>
        <c:lblOffset val="100"/>
        <c:noMultiLvlLbl val="0"/>
      </c:catAx>
      <c:valAx>
        <c:axId val="569729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785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[Financial_Revenue_Analytics_Project_1000_Records.xlsx]Sheet2!PivotTable7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Sheet2!$Q$3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0A-4E56-ABA1-7A2C667651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0A-4E56-ABA1-7A2C667651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50A-4E56-ABA1-7A2C6676512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50A-4E56-ABA1-7A2C6676512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50A-4E56-ABA1-7A2C6676512B}"/>
              </c:ext>
            </c:extLst>
          </c:dPt>
          <c:cat>
            <c:strRef>
              <c:f>Sheet2!$P$4:$P$9</c:f>
              <c:strCache>
                <c:ptCount val="5"/>
                <c:pt idx="0">
                  <c:v>Facebook</c:v>
                </c:pt>
                <c:pt idx="1">
                  <c:v>Google</c:v>
                </c:pt>
                <c:pt idx="2">
                  <c:v>Instagram</c:v>
                </c:pt>
                <c:pt idx="3">
                  <c:v>Organic</c:v>
                </c:pt>
                <c:pt idx="4">
                  <c:v>Walk-in</c:v>
                </c:pt>
              </c:strCache>
            </c:strRef>
          </c:cat>
          <c:val>
            <c:numRef>
              <c:f>Sheet2!$Q$4:$Q$9</c:f>
              <c:numCache>
                <c:formatCode>_ * #,##0_ ;_ * \-#,##0_ ;_ * "-"??_ ;_ @_ </c:formatCode>
                <c:ptCount val="5"/>
                <c:pt idx="0">
                  <c:v>88620</c:v>
                </c:pt>
                <c:pt idx="1">
                  <c:v>79770</c:v>
                </c:pt>
                <c:pt idx="2">
                  <c:v>75770</c:v>
                </c:pt>
                <c:pt idx="3">
                  <c:v>81170</c:v>
                </c:pt>
                <c:pt idx="4">
                  <c:v>78490</c:v>
                </c:pt>
              </c:numCache>
            </c:numRef>
          </c:val>
          <c:extLst>
            <c:ext xmlns:c16="http://schemas.microsoft.com/office/drawing/2014/chart" uri="{C3380CC4-5D6E-409C-BE32-E72D297353CC}">
              <c16:uniqueId val="{00000000-BC15-4E9D-8072-995A3DD64AD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[Financial_Revenue_Analytics_Project_1000_Records.xlsx]Sheet2!PivotTable6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Sheet2!$N$3</c:f>
              <c:strCache>
                <c:ptCount val="1"/>
                <c:pt idx="0">
                  <c:v>Total</c:v>
                </c:pt>
              </c:strCache>
            </c:strRef>
          </c:tx>
          <c:spPr>
            <a:solidFill>
              <a:schemeClr val="accent1"/>
            </a:solidFill>
            <a:ln>
              <a:noFill/>
            </a:ln>
            <a:effectLst/>
          </c:spPr>
          <c:invertIfNegative val="0"/>
          <c:cat>
            <c:strRef>
              <c:f>Sheet2!$M$4:$M$10</c:f>
              <c:strCache>
                <c:ptCount val="6"/>
                <c:pt idx="0">
                  <c:v>Asha</c:v>
                </c:pt>
                <c:pt idx="1">
                  <c:v>John</c:v>
                </c:pt>
                <c:pt idx="2">
                  <c:v>Kiran</c:v>
                </c:pt>
                <c:pt idx="3">
                  <c:v>Priya</c:v>
                </c:pt>
                <c:pt idx="4">
                  <c:v>Rahul</c:v>
                </c:pt>
                <c:pt idx="5">
                  <c:v>Sneha</c:v>
                </c:pt>
              </c:strCache>
            </c:strRef>
          </c:cat>
          <c:val>
            <c:numRef>
              <c:f>Sheet2!$N$4:$N$10</c:f>
              <c:numCache>
                <c:formatCode>General</c:formatCode>
                <c:ptCount val="6"/>
                <c:pt idx="0">
                  <c:v>73830</c:v>
                </c:pt>
                <c:pt idx="1">
                  <c:v>66340</c:v>
                </c:pt>
                <c:pt idx="2">
                  <c:v>74110</c:v>
                </c:pt>
                <c:pt idx="3">
                  <c:v>65700</c:v>
                </c:pt>
                <c:pt idx="4">
                  <c:v>62790</c:v>
                </c:pt>
                <c:pt idx="5">
                  <c:v>61050</c:v>
                </c:pt>
              </c:numCache>
            </c:numRef>
          </c:val>
          <c:extLst>
            <c:ext xmlns:c16="http://schemas.microsoft.com/office/drawing/2014/chart" uri="{C3380CC4-5D6E-409C-BE32-E72D297353CC}">
              <c16:uniqueId val="{00000000-BE7D-41C9-B9AE-CBABF50C3B5E}"/>
            </c:ext>
          </c:extLst>
        </c:ser>
        <c:dLbls>
          <c:showLegendKey val="0"/>
          <c:showVal val="0"/>
          <c:showCatName val="0"/>
          <c:showSerName val="0"/>
          <c:showPercent val="0"/>
          <c:showBubbleSize val="0"/>
        </c:dLbls>
        <c:gapWidth val="219"/>
        <c:overlap val="-27"/>
        <c:axId val="371013904"/>
        <c:axId val="512824400"/>
      </c:barChart>
      <c:catAx>
        <c:axId val="37101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824400"/>
        <c:crosses val="autoZero"/>
        <c:auto val="1"/>
        <c:lblAlgn val="ctr"/>
        <c:lblOffset val="100"/>
        <c:noMultiLvlLbl val="0"/>
      </c:catAx>
      <c:valAx>
        <c:axId val="512824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013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[Financial_Revenue_Analytics_Project_1000_Records.xlsx]Sheet2!PivotTable14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02537182852143"/>
          <c:y val="0.25865522018081066"/>
          <c:w val="0.73578937007874012"/>
          <c:h val="0.53774387576552929"/>
        </c:manualLayout>
      </c:layout>
      <c:barChart>
        <c:barDir val="col"/>
        <c:grouping val="clustered"/>
        <c:varyColors val="0"/>
        <c:ser>
          <c:idx val="0"/>
          <c:order val="0"/>
          <c:tx>
            <c:strRef>
              <c:f>Sheet2!$U$3</c:f>
              <c:strCache>
                <c:ptCount val="1"/>
                <c:pt idx="0">
                  <c:v>Total</c:v>
                </c:pt>
              </c:strCache>
            </c:strRef>
          </c:tx>
          <c:spPr>
            <a:solidFill>
              <a:schemeClr val="accent1"/>
            </a:solidFill>
            <a:ln>
              <a:noFill/>
            </a:ln>
            <a:effectLst/>
          </c:spPr>
          <c:invertIfNegative val="0"/>
          <c:cat>
            <c:strRef>
              <c:f>Sheet2!$T$4:$T$7</c:f>
              <c:strCache>
                <c:ptCount val="3"/>
                <c:pt idx="0">
                  <c:v>Coffee</c:v>
                </c:pt>
                <c:pt idx="1">
                  <c:v>Food</c:v>
                </c:pt>
                <c:pt idx="2">
                  <c:v>Tea</c:v>
                </c:pt>
              </c:strCache>
            </c:strRef>
          </c:cat>
          <c:val>
            <c:numRef>
              <c:f>Sheet2!$U$4:$U$7</c:f>
              <c:numCache>
                <c:formatCode>General</c:formatCode>
                <c:ptCount val="3"/>
                <c:pt idx="0">
                  <c:v>287340</c:v>
                </c:pt>
                <c:pt idx="1">
                  <c:v>89040</c:v>
                </c:pt>
                <c:pt idx="2">
                  <c:v>27440</c:v>
                </c:pt>
              </c:numCache>
            </c:numRef>
          </c:val>
          <c:extLst>
            <c:ext xmlns:c16="http://schemas.microsoft.com/office/drawing/2014/chart" uri="{C3380CC4-5D6E-409C-BE32-E72D297353CC}">
              <c16:uniqueId val="{00000000-CD95-4CDC-A487-EBB7AFDF6D0F}"/>
            </c:ext>
          </c:extLst>
        </c:ser>
        <c:dLbls>
          <c:showLegendKey val="0"/>
          <c:showVal val="0"/>
          <c:showCatName val="0"/>
          <c:showSerName val="0"/>
          <c:showPercent val="0"/>
          <c:showBubbleSize val="0"/>
        </c:dLbls>
        <c:gapWidth val="219"/>
        <c:overlap val="-27"/>
        <c:axId val="545195808"/>
        <c:axId val="512800400"/>
      </c:barChart>
      <c:catAx>
        <c:axId val="54519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800400"/>
        <c:crosses val="autoZero"/>
        <c:auto val="1"/>
        <c:lblAlgn val="ctr"/>
        <c:lblOffset val="100"/>
        <c:noMultiLvlLbl val="0"/>
      </c:catAx>
      <c:valAx>
        <c:axId val="51280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195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[Financial_Revenue_Analytics_Project_1000_Records.xlsx]Sheet2!PivotTable5</c:name>
    <c:fmtId val="8"/>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i="0" u="none" strike="noStrike" baseline="0"/>
              <a:t>Revenue by Product</a:t>
            </a:r>
            <a:endParaRPr lang="en-US" sz="1600" b="1"/>
          </a:p>
        </c:rich>
      </c:tx>
      <c:layout>
        <c:manualLayout>
          <c:xMode val="edge"/>
          <c:yMode val="edge"/>
          <c:x val="0.33320394081736976"/>
          <c:y val="6.3809947056239588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226197863461928"/>
          <c:y val="0.2652083949367412"/>
          <c:w val="0.76090665399762281"/>
          <c:h val="0.42071769928190883"/>
        </c:manualLayout>
      </c:layout>
      <c:bar3DChart>
        <c:barDir val="col"/>
        <c:grouping val="clustered"/>
        <c:varyColors val="0"/>
        <c:ser>
          <c:idx val="0"/>
          <c:order val="0"/>
          <c:tx>
            <c:strRef>
              <c:f>Sheet2!$J$3</c:f>
              <c:strCache>
                <c:ptCount val="1"/>
                <c:pt idx="0">
                  <c:v>Total</c:v>
                </c:pt>
              </c:strCache>
            </c:strRef>
          </c:tx>
          <c:spPr>
            <a:solidFill>
              <a:schemeClr val="accent4"/>
            </a:solidFill>
            <a:ln>
              <a:noFill/>
            </a:ln>
            <a:effectLst/>
            <a:sp3d/>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Sheet2!$I$4:$I$12</c:f>
              <c:strCache>
                <c:ptCount val="8"/>
                <c:pt idx="0">
                  <c:v>Brownie</c:v>
                </c:pt>
                <c:pt idx="1">
                  <c:v>Cappuccino</c:v>
                </c:pt>
                <c:pt idx="2">
                  <c:v>Cold Coffee</c:v>
                </c:pt>
                <c:pt idx="3">
                  <c:v>Espresso</c:v>
                </c:pt>
                <c:pt idx="4">
                  <c:v>Latte</c:v>
                </c:pt>
                <c:pt idx="5">
                  <c:v>Mocha</c:v>
                </c:pt>
                <c:pt idx="6">
                  <c:v>Sandwich</c:v>
                </c:pt>
                <c:pt idx="7">
                  <c:v>Tea</c:v>
                </c:pt>
              </c:strCache>
            </c:strRef>
          </c:cat>
          <c:val>
            <c:numRef>
              <c:f>Sheet2!$J$4:$J$12</c:f>
              <c:numCache>
                <c:formatCode>General</c:formatCode>
                <c:ptCount val="8"/>
                <c:pt idx="0">
                  <c:v>44400</c:v>
                </c:pt>
                <c:pt idx="1">
                  <c:v>64400</c:v>
                </c:pt>
                <c:pt idx="2">
                  <c:v>60000</c:v>
                </c:pt>
                <c:pt idx="3">
                  <c:v>36240</c:v>
                </c:pt>
                <c:pt idx="4">
                  <c:v>56520</c:v>
                </c:pt>
                <c:pt idx="5">
                  <c:v>70180</c:v>
                </c:pt>
                <c:pt idx="6">
                  <c:v>44640</c:v>
                </c:pt>
                <c:pt idx="7">
                  <c:v>27440</c:v>
                </c:pt>
              </c:numCache>
            </c:numRef>
          </c:val>
          <c:extLst>
            <c:ext xmlns:c16="http://schemas.microsoft.com/office/drawing/2014/chart" uri="{C3380CC4-5D6E-409C-BE32-E72D297353CC}">
              <c16:uniqueId val="{00000000-6C36-44E0-8BBD-466A9E654CA6}"/>
            </c:ext>
          </c:extLst>
        </c:ser>
        <c:dLbls>
          <c:showLegendKey val="0"/>
          <c:showVal val="1"/>
          <c:showCatName val="0"/>
          <c:showSerName val="0"/>
          <c:showPercent val="0"/>
          <c:showBubbleSize val="0"/>
        </c:dLbls>
        <c:gapWidth val="150"/>
        <c:shape val="box"/>
        <c:axId val="935785711"/>
        <c:axId val="569729327"/>
        <c:axId val="0"/>
      </c:bar3DChart>
      <c:catAx>
        <c:axId val="935785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69729327"/>
        <c:crosses val="autoZero"/>
        <c:auto val="1"/>
        <c:lblAlgn val="ctr"/>
        <c:lblOffset val="100"/>
        <c:noMultiLvlLbl val="0"/>
      </c:catAx>
      <c:valAx>
        <c:axId val="569729327"/>
        <c:scaling>
          <c:orientation val="minMax"/>
        </c:scaling>
        <c:delete val="0"/>
        <c:axPos val="l"/>
        <c:numFmt formatCode="#,##0,&quot;K&quot;\ "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93578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[Financial_Revenue_Analytics_Project_1000_Records.xlsx]Sheet2!PivotTable6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Revenue by Employee</a:t>
            </a:r>
            <a:endParaRPr lang="en-US" sz="1400" b="1"/>
          </a:p>
        </c:rich>
      </c:tx>
      <c:layout>
        <c:manualLayout>
          <c:xMode val="edge"/>
          <c:yMode val="edge"/>
          <c:x val="0.34203320548518634"/>
          <c:y val="4.41316020006826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numFmt formatCode="#,##0,&quot;K&quot;\ "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Sheet2!$N$3</c:f>
              <c:strCache>
                <c:ptCount val="1"/>
                <c:pt idx="0">
                  <c:v>Total</c:v>
                </c:pt>
              </c:strCache>
            </c:strRef>
          </c:tx>
          <c:spPr>
            <a:solidFill>
              <a:schemeClr val="accent4"/>
            </a:solidFill>
            <a:ln>
              <a:noFill/>
            </a:ln>
            <a:effectLst/>
          </c:spPr>
          <c:invertIfNegative val="0"/>
          <c:dLbls>
            <c:numFmt formatCode="#,##0,&quot;K&quot;\ "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Sheet2!$M$4:$M$10</c:f>
              <c:strCache>
                <c:ptCount val="6"/>
                <c:pt idx="0">
                  <c:v>Asha</c:v>
                </c:pt>
                <c:pt idx="1">
                  <c:v>John</c:v>
                </c:pt>
                <c:pt idx="2">
                  <c:v>Kiran</c:v>
                </c:pt>
                <c:pt idx="3">
                  <c:v>Priya</c:v>
                </c:pt>
                <c:pt idx="4">
                  <c:v>Rahul</c:v>
                </c:pt>
                <c:pt idx="5">
                  <c:v>Sneha</c:v>
                </c:pt>
              </c:strCache>
            </c:strRef>
          </c:cat>
          <c:val>
            <c:numRef>
              <c:f>Sheet2!$N$4:$N$10</c:f>
              <c:numCache>
                <c:formatCode>General</c:formatCode>
                <c:ptCount val="6"/>
                <c:pt idx="0">
                  <c:v>73830</c:v>
                </c:pt>
                <c:pt idx="1">
                  <c:v>66340</c:v>
                </c:pt>
                <c:pt idx="2">
                  <c:v>74110</c:v>
                </c:pt>
                <c:pt idx="3">
                  <c:v>65700</c:v>
                </c:pt>
                <c:pt idx="4">
                  <c:v>62790</c:v>
                </c:pt>
                <c:pt idx="5">
                  <c:v>61050</c:v>
                </c:pt>
              </c:numCache>
            </c:numRef>
          </c:val>
          <c:extLst>
            <c:ext xmlns:c16="http://schemas.microsoft.com/office/drawing/2014/chart" uri="{C3380CC4-5D6E-409C-BE32-E72D297353CC}">
              <c16:uniqueId val="{00000000-B1CC-489C-83F3-42EE1CE6703C}"/>
            </c:ext>
          </c:extLst>
        </c:ser>
        <c:dLbls>
          <c:dLblPos val="outEnd"/>
          <c:showLegendKey val="0"/>
          <c:showVal val="1"/>
          <c:showCatName val="0"/>
          <c:showSerName val="0"/>
          <c:showPercent val="0"/>
          <c:showBubbleSize val="0"/>
        </c:dLbls>
        <c:gapWidth val="219"/>
        <c:overlap val="-27"/>
        <c:axId val="371013904"/>
        <c:axId val="512824400"/>
      </c:barChart>
      <c:catAx>
        <c:axId val="37101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12824400"/>
        <c:crosses val="autoZero"/>
        <c:auto val="1"/>
        <c:lblAlgn val="ctr"/>
        <c:lblOffset val="100"/>
        <c:noMultiLvlLbl val="0"/>
      </c:catAx>
      <c:valAx>
        <c:axId val="512824400"/>
        <c:scaling>
          <c:orientation val="minMax"/>
        </c:scaling>
        <c:delete val="0"/>
        <c:axPos val="l"/>
        <c:numFmt formatCode="#,##0,&quot;K&quot;\ "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7101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[Financial_Revenue_Analytics_Project_1000_Records.xlsx]Sheet2!PivotTable7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Revenue by Marketing Channel</a:t>
            </a:r>
            <a:endParaRPr lang="en-US" sz="1400" b="1"/>
          </a:p>
        </c:rich>
      </c:tx>
      <c:layout>
        <c:manualLayout>
          <c:xMode val="edge"/>
          <c:yMode val="edge"/>
          <c:x val="0.29494247898259734"/>
          <c:y val="4.27291631316615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6.8623211065941894E-2"/>
              <c:y val="8.063225430154563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3.7731914154566837E-2"/>
              <c:y val="9.2983377077865258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1860496008989896"/>
              <c:y val="-7.5555555555555558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1.7304586650380357E-2"/>
              <c:y val="-8.886711383299310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6.4777314002364458E-2"/>
              <c:y val="1.1161271507728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Sheet2!$Q$3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DD7-4082-9465-12AD913D79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D7-4082-9465-12AD913D79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DD7-4082-9465-12AD913D79C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DD7-4082-9465-12AD913D79C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DD7-4082-9465-12AD913D79CE}"/>
              </c:ext>
            </c:extLst>
          </c:dPt>
          <c:dLbls>
            <c:dLbl>
              <c:idx val="0"/>
              <c:layout>
                <c:manualLayout>
                  <c:x val="6.8623211065941894E-2"/>
                  <c:y val="8.063225430154563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DD7-4082-9465-12AD913D79CE}"/>
                </c:ext>
              </c:extLst>
            </c:dLbl>
            <c:dLbl>
              <c:idx val="1"/>
              <c:layout>
                <c:manualLayout>
                  <c:x val="3.7731914154566837E-2"/>
                  <c:y val="9.2983377077865258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DD7-4082-9465-12AD913D79CE}"/>
                </c:ext>
              </c:extLst>
            </c:dLbl>
            <c:dLbl>
              <c:idx val="2"/>
              <c:layout>
                <c:manualLayout>
                  <c:x val="-0.11860496008989896"/>
                  <c:y val="-7.5555555555555558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DD7-4082-9465-12AD913D79CE}"/>
                </c:ext>
              </c:extLst>
            </c:dLbl>
            <c:dLbl>
              <c:idx val="3"/>
              <c:layout>
                <c:manualLayout>
                  <c:x val="-1.7304586650380357E-2"/>
                  <c:y val="-8.886711383299310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DD7-4082-9465-12AD913D79CE}"/>
                </c:ext>
              </c:extLst>
            </c:dLbl>
            <c:dLbl>
              <c:idx val="4"/>
              <c:layout>
                <c:manualLayout>
                  <c:x val="-6.4777314002364458E-2"/>
                  <c:y val="1.1161271507728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DD7-4082-9465-12AD913D79CE}"/>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Sheet2!$P$4:$P$9</c:f>
              <c:strCache>
                <c:ptCount val="5"/>
                <c:pt idx="0">
                  <c:v>Facebook</c:v>
                </c:pt>
                <c:pt idx="1">
                  <c:v>Google</c:v>
                </c:pt>
                <c:pt idx="2">
                  <c:v>Instagram</c:v>
                </c:pt>
                <c:pt idx="3">
                  <c:v>Organic</c:v>
                </c:pt>
                <c:pt idx="4">
                  <c:v>Walk-in</c:v>
                </c:pt>
              </c:strCache>
            </c:strRef>
          </c:cat>
          <c:val>
            <c:numRef>
              <c:f>Sheet2!$Q$4:$Q$9</c:f>
              <c:numCache>
                <c:formatCode>_ * #,##0_ ;_ * \-#,##0_ ;_ * "-"??_ ;_ @_ </c:formatCode>
                <c:ptCount val="5"/>
                <c:pt idx="0">
                  <c:v>88620</c:v>
                </c:pt>
                <c:pt idx="1">
                  <c:v>79770</c:v>
                </c:pt>
                <c:pt idx="2">
                  <c:v>75770</c:v>
                </c:pt>
                <c:pt idx="3">
                  <c:v>81170</c:v>
                </c:pt>
                <c:pt idx="4">
                  <c:v>78490</c:v>
                </c:pt>
              </c:numCache>
            </c:numRef>
          </c:val>
          <c:extLst>
            <c:ext xmlns:c16="http://schemas.microsoft.com/office/drawing/2014/chart" uri="{C3380CC4-5D6E-409C-BE32-E72D297353CC}">
              <c16:uniqueId val="{0000000A-8DD7-4082-9465-12AD913D79CE}"/>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[Financial_Revenue_Analytics_Project_1000_Records.xlsx]Sheet2!PivotTable14</c:name>
    <c:fmtId val="9"/>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i="0" u="none" strike="noStrike" baseline="0"/>
              <a:t>Revenue by Category</a:t>
            </a:r>
            <a:endParaRPr lang="en-US" sz="1600" b="1"/>
          </a:p>
        </c:rich>
      </c:tx>
      <c:layout>
        <c:manualLayout>
          <c:xMode val="edge"/>
          <c:yMode val="edge"/>
          <c:x val="0.35738411882389681"/>
          <c:y val="7.191065319846128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95008894406127"/>
          <c:y val="0.26506933203364708"/>
          <c:w val="0.73578937007874012"/>
          <c:h val="0.53774387576552929"/>
        </c:manualLayout>
      </c:layout>
      <c:barChart>
        <c:barDir val="col"/>
        <c:grouping val="clustered"/>
        <c:varyColors val="0"/>
        <c:ser>
          <c:idx val="0"/>
          <c:order val="0"/>
          <c:tx>
            <c:strRef>
              <c:f>Sheet2!$U$3</c:f>
              <c:strCache>
                <c:ptCount val="1"/>
                <c:pt idx="0">
                  <c:v>Total</c:v>
                </c:pt>
              </c:strCache>
            </c:strRef>
          </c:tx>
          <c:spPr>
            <a:solidFill>
              <a:schemeClr val="accent4"/>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Sheet2!$T$4:$T$7</c:f>
              <c:strCache>
                <c:ptCount val="3"/>
                <c:pt idx="0">
                  <c:v>Coffee</c:v>
                </c:pt>
                <c:pt idx="1">
                  <c:v>Food</c:v>
                </c:pt>
                <c:pt idx="2">
                  <c:v>Tea</c:v>
                </c:pt>
              </c:strCache>
            </c:strRef>
          </c:cat>
          <c:val>
            <c:numRef>
              <c:f>Sheet2!$U$4:$U$7</c:f>
              <c:numCache>
                <c:formatCode>General</c:formatCode>
                <c:ptCount val="3"/>
                <c:pt idx="0">
                  <c:v>287340</c:v>
                </c:pt>
                <c:pt idx="1">
                  <c:v>89040</c:v>
                </c:pt>
                <c:pt idx="2">
                  <c:v>27440</c:v>
                </c:pt>
              </c:numCache>
            </c:numRef>
          </c:val>
          <c:extLst>
            <c:ext xmlns:c16="http://schemas.microsoft.com/office/drawing/2014/chart" uri="{C3380CC4-5D6E-409C-BE32-E72D297353CC}">
              <c16:uniqueId val="{00000000-5686-4188-8F4F-E71F8527EB6F}"/>
            </c:ext>
          </c:extLst>
        </c:ser>
        <c:dLbls>
          <c:showLegendKey val="0"/>
          <c:showVal val="0"/>
          <c:showCatName val="0"/>
          <c:showSerName val="0"/>
          <c:showPercent val="0"/>
          <c:showBubbleSize val="0"/>
        </c:dLbls>
        <c:gapWidth val="219"/>
        <c:overlap val="-27"/>
        <c:axId val="545195808"/>
        <c:axId val="512800400"/>
      </c:barChart>
      <c:catAx>
        <c:axId val="54519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512800400"/>
        <c:crosses val="autoZero"/>
        <c:auto val="1"/>
        <c:lblAlgn val="ctr"/>
        <c:lblOffset val="100"/>
        <c:noMultiLvlLbl val="0"/>
      </c:catAx>
      <c:valAx>
        <c:axId val="512800400"/>
        <c:scaling>
          <c:orientation val="minMax"/>
        </c:scaling>
        <c:delete val="0"/>
        <c:axPos val="l"/>
        <c:numFmt formatCode="#,##0,&quot;K&quot;\ "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45195808"/>
        <c:crosses val="autoZero"/>
        <c:crossBetween val="between"/>
        <c:majorUnit val="1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434339</xdr:colOff>
      <xdr:row>15</xdr:row>
      <xdr:rowOff>170235</xdr:rowOff>
    </xdr:from>
    <xdr:to>
      <xdr:col>11</xdr:col>
      <xdr:colOff>624191</xdr:colOff>
      <xdr:row>26</xdr:row>
      <xdr:rowOff>56746</xdr:rowOff>
    </xdr:to>
    <xdr:graphicFrame macro="">
      <xdr:nvGraphicFramePr>
        <xdr:cNvPr id="2" name="Chart 1">
          <a:extLst>
            <a:ext uri="{FF2B5EF4-FFF2-40B4-BE49-F238E27FC236}">
              <a16:creationId xmlns:a16="http://schemas.microsoft.com/office/drawing/2014/main" id="{E688CFE1-7946-D49C-B07E-4433DC246B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226977</xdr:colOff>
      <xdr:row>15</xdr:row>
      <xdr:rowOff>24319</xdr:rowOff>
    </xdr:from>
    <xdr:to>
      <xdr:col>18</xdr:col>
      <xdr:colOff>510701</xdr:colOff>
      <xdr:row>26</xdr:row>
      <xdr:rowOff>48638</xdr:rowOff>
    </xdr:to>
    <xdr:graphicFrame macro="">
      <xdr:nvGraphicFramePr>
        <xdr:cNvPr id="3" name="Chart 2">
          <a:extLst>
            <a:ext uri="{FF2B5EF4-FFF2-40B4-BE49-F238E27FC236}">
              <a16:creationId xmlns:a16="http://schemas.microsoft.com/office/drawing/2014/main" id="{C88C2866-3D16-DB97-B30D-1AB5C00055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426721</xdr:colOff>
      <xdr:row>4</xdr:row>
      <xdr:rowOff>113490</xdr:rowOff>
    </xdr:from>
    <xdr:to>
      <xdr:col>0</xdr:col>
      <xdr:colOff>876191</xdr:colOff>
      <xdr:row>5</xdr:row>
      <xdr:rowOff>8106</xdr:rowOff>
    </xdr:to>
    <xdr:sp macro="" textlink="">
      <xdr:nvSpPr>
        <xdr:cNvPr id="5" name="TextBox 4">
          <a:extLst>
            <a:ext uri="{FF2B5EF4-FFF2-40B4-BE49-F238E27FC236}">
              <a16:creationId xmlns:a16="http://schemas.microsoft.com/office/drawing/2014/main" id="{92A0464E-B1B9-693A-15AA-A9B705544991}"/>
            </a:ext>
          </a:extLst>
        </xdr:cNvPr>
        <xdr:cNvSpPr txBox="1"/>
      </xdr:nvSpPr>
      <xdr:spPr>
        <a:xfrm flipV="1">
          <a:off x="426721" y="859277"/>
          <a:ext cx="449470" cy="810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11</xdr:col>
      <xdr:colOff>1564531</xdr:colOff>
      <xdr:row>15</xdr:row>
      <xdr:rowOff>48638</xdr:rowOff>
    </xdr:from>
    <xdr:to>
      <xdr:col>14</xdr:col>
      <xdr:colOff>924128</xdr:colOff>
      <xdr:row>26</xdr:row>
      <xdr:rowOff>8106</xdr:rowOff>
    </xdr:to>
    <xdr:graphicFrame macro="">
      <xdr:nvGraphicFramePr>
        <xdr:cNvPr id="4" name="Chart 3">
          <a:extLst>
            <a:ext uri="{FF2B5EF4-FFF2-40B4-BE49-F238E27FC236}">
              <a16:creationId xmlns:a16="http://schemas.microsoft.com/office/drawing/2014/main" id="{D97BE741-2FD7-A9A9-ACCC-A6160180B8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778213</xdr:colOff>
      <xdr:row>12</xdr:row>
      <xdr:rowOff>129703</xdr:rowOff>
    </xdr:from>
    <xdr:to>
      <xdr:col>1</xdr:col>
      <xdr:colOff>616085</xdr:colOff>
      <xdr:row>15</xdr:row>
      <xdr:rowOff>1</xdr:rowOff>
    </xdr:to>
    <xdr:sp macro="" textlink="">
      <xdr:nvSpPr>
        <xdr:cNvPr id="8" name="TextBox 7">
          <a:extLst>
            <a:ext uri="{FF2B5EF4-FFF2-40B4-BE49-F238E27FC236}">
              <a16:creationId xmlns:a16="http://schemas.microsoft.com/office/drawing/2014/main" id="{E2520663-102C-E0AA-0E1A-D8E647AC710C}"/>
            </a:ext>
          </a:extLst>
        </xdr:cNvPr>
        <xdr:cNvSpPr txBox="1"/>
      </xdr:nvSpPr>
      <xdr:spPr>
        <a:xfrm>
          <a:off x="778213" y="2367065"/>
          <a:ext cx="1207851" cy="4296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19</xdr:col>
      <xdr:colOff>304800</xdr:colOff>
      <xdr:row>13</xdr:row>
      <xdr:rowOff>0</xdr:rowOff>
    </xdr:from>
    <xdr:to>
      <xdr:col>22</xdr:col>
      <xdr:colOff>1021977</xdr:colOff>
      <xdr:row>23</xdr:row>
      <xdr:rowOff>161365</xdr:rowOff>
    </xdr:to>
    <xdr:graphicFrame macro="">
      <xdr:nvGraphicFramePr>
        <xdr:cNvPr id="19" name="Chart 18">
          <a:extLst>
            <a:ext uri="{FF2B5EF4-FFF2-40B4-BE49-F238E27FC236}">
              <a16:creationId xmlns:a16="http://schemas.microsoft.com/office/drawing/2014/main" id="{FF4CF141-739A-8C0D-B65B-9E71164C24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128428</xdr:colOff>
      <xdr:row>0</xdr:row>
      <xdr:rowOff>92677</xdr:rowOff>
    </xdr:from>
    <xdr:to>
      <xdr:col>30</xdr:col>
      <xdr:colOff>309218</xdr:colOff>
      <xdr:row>46</xdr:row>
      <xdr:rowOff>33131</xdr:rowOff>
    </xdr:to>
    <xdr:sp macro="" textlink="">
      <xdr:nvSpPr>
        <xdr:cNvPr id="25" name="Rectangle 24">
          <a:extLst>
            <a:ext uri="{FF2B5EF4-FFF2-40B4-BE49-F238E27FC236}">
              <a16:creationId xmlns:a16="http://schemas.microsoft.com/office/drawing/2014/main" id="{264B2F28-63F5-CF3A-6F91-1C6431102707}"/>
            </a:ext>
          </a:extLst>
        </xdr:cNvPr>
        <xdr:cNvSpPr/>
      </xdr:nvSpPr>
      <xdr:spPr>
        <a:xfrm>
          <a:off x="1343211" y="92677"/>
          <a:ext cx="16867485" cy="8576454"/>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898987</xdr:colOff>
      <xdr:row>5</xdr:row>
      <xdr:rowOff>19224</xdr:rowOff>
    </xdr:from>
    <xdr:to>
      <xdr:col>25</xdr:col>
      <xdr:colOff>368158</xdr:colOff>
      <xdr:row>8</xdr:row>
      <xdr:rowOff>171236</xdr:rowOff>
    </xdr:to>
    <xdr:sp macro="" textlink="">
      <xdr:nvSpPr>
        <xdr:cNvPr id="2" name="Rectangle 1">
          <a:extLst>
            <a:ext uri="{FF2B5EF4-FFF2-40B4-BE49-F238E27FC236}">
              <a16:creationId xmlns:a16="http://schemas.microsoft.com/office/drawing/2014/main" id="{10216F42-5721-20AA-A26A-2E8068226E21}"/>
            </a:ext>
          </a:extLst>
        </xdr:cNvPr>
        <xdr:cNvSpPr/>
      </xdr:nvSpPr>
      <xdr:spPr>
        <a:xfrm>
          <a:off x="11840965" y="918213"/>
          <a:ext cx="3407597" cy="69140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500" b="1"/>
            <a:t>MARGIN %</a:t>
          </a:r>
        </a:p>
      </xdr:txBody>
    </xdr:sp>
    <xdr:clientData/>
  </xdr:twoCellAnchor>
  <xdr:twoCellAnchor>
    <xdr:from>
      <xdr:col>21</xdr:col>
      <xdr:colOff>476437</xdr:colOff>
      <xdr:row>6</xdr:row>
      <xdr:rowOff>118442</xdr:rowOff>
    </xdr:from>
    <xdr:to>
      <xdr:col>23</xdr:col>
      <xdr:colOff>583495</xdr:colOff>
      <xdr:row>8</xdr:row>
      <xdr:rowOff>131038</xdr:rowOff>
    </xdr:to>
    <xdr:sp macro="" textlink="Sheet2!AL8">
      <xdr:nvSpPr>
        <xdr:cNvPr id="3" name="TextBox 2">
          <a:extLst>
            <a:ext uri="{FF2B5EF4-FFF2-40B4-BE49-F238E27FC236}">
              <a16:creationId xmlns:a16="http://schemas.microsoft.com/office/drawing/2014/main" id="{7E2D771C-6CB2-1131-D879-4B1178C7BD18}"/>
            </a:ext>
          </a:extLst>
        </xdr:cNvPr>
        <xdr:cNvSpPr txBox="1"/>
      </xdr:nvSpPr>
      <xdr:spPr>
        <a:xfrm>
          <a:off x="12925291" y="1197229"/>
          <a:ext cx="1322833" cy="3721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D564085-8C82-4BBE-851D-7114E3CB5F14}" type="TxLink">
            <a:rPr lang="en-US" sz="1500" b="1" i="0" u="none" strike="noStrike">
              <a:solidFill>
                <a:srgbClr val="000000"/>
              </a:solidFill>
              <a:latin typeface="Calibri"/>
              <a:ea typeface="Calibri"/>
              <a:cs typeface="Calibri"/>
            </a:rPr>
            <a:pPr algn="ctr"/>
            <a:t>56%</a:t>
          </a:fld>
          <a:endParaRPr lang="en-IN" sz="1500" b="1"/>
        </a:p>
      </xdr:txBody>
    </xdr:sp>
    <xdr:clientData/>
  </xdr:twoCellAnchor>
  <xdr:twoCellAnchor>
    <xdr:from>
      <xdr:col>8</xdr:col>
      <xdr:colOff>179799</xdr:colOff>
      <xdr:row>5</xdr:row>
      <xdr:rowOff>8925</xdr:rowOff>
    </xdr:from>
    <xdr:to>
      <xdr:col>13</xdr:col>
      <xdr:colOff>265417</xdr:colOff>
      <xdr:row>8</xdr:row>
      <xdr:rowOff>162297</xdr:rowOff>
    </xdr:to>
    <xdr:sp macro="" textlink="">
      <xdr:nvSpPr>
        <xdr:cNvPr id="4" name="Rectangle 3">
          <a:extLst>
            <a:ext uri="{FF2B5EF4-FFF2-40B4-BE49-F238E27FC236}">
              <a16:creationId xmlns:a16="http://schemas.microsoft.com/office/drawing/2014/main" id="{79616155-56F7-A73B-3BF9-FF13CB508F64}"/>
            </a:ext>
          </a:extLst>
        </xdr:cNvPr>
        <xdr:cNvSpPr/>
      </xdr:nvSpPr>
      <xdr:spPr>
        <a:xfrm>
          <a:off x="5042900" y="907914"/>
          <a:ext cx="3125056" cy="69276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500" b="1"/>
            <a:t>NET MARGIN%</a:t>
          </a:r>
        </a:p>
      </xdr:txBody>
    </xdr:sp>
    <xdr:clientData/>
  </xdr:twoCellAnchor>
  <xdr:twoCellAnchor>
    <xdr:from>
      <xdr:col>9</xdr:col>
      <xdr:colOff>599562</xdr:colOff>
      <xdr:row>6</xdr:row>
      <xdr:rowOff>94616</xdr:rowOff>
    </xdr:from>
    <xdr:to>
      <xdr:col>11</xdr:col>
      <xdr:colOff>550177</xdr:colOff>
      <xdr:row>7</xdr:row>
      <xdr:rowOff>163548</xdr:rowOff>
    </xdr:to>
    <xdr:sp macro="" textlink="Sheet2!AL10">
      <xdr:nvSpPr>
        <xdr:cNvPr id="5" name="TextBox 4">
          <a:extLst>
            <a:ext uri="{FF2B5EF4-FFF2-40B4-BE49-F238E27FC236}">
              <a16:creationId xmlns:a16="http://schemas.microsoft.com/office/drawing/2014/main" id="{388D0936-172C-6235-1A2F-9CCBC7863CD9}"/>
            </a:ext>
          </a:extLst>
        </xdr:cNvPr>
        <xdr:cNvSpPr txBox="1"/>
      </xdr:nvSpPr>
      <xdr:spPr>
        <a:xfrm>
          <a:off x="6070551" y="1173403"/>
          <a:ext cx="1166390" cy="2487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50C4CCF-B5DB-437E-A88D-D52EABA0DE65}" type="TxLink">
            <a:rPr lang="en-US" sz="1400" b="1" i="0" u="none" strike="noStrike">
              <a:solidFill>
                <a:srgbClr val="000000"/>
              </a:solidFill>
              <a:latin typeface="Calibri"/>
              <a:ea typeface="Calibri"/>
              <a:cs typeface="Calibri"/>
            </a:rPr>
            <a:pPr algn="ctr"/>
            <a:t>28%</a:t>
          </a:fld>
          <a:endParaRPr lang="en-IN" sz="1400" b="1"/>
        </a:p>
      </xdr:txBody>
    </xdr:sp>
    <xdr:clientData/>
  </xdr:twoCellAnchor>
  <xdr:twoCellAnchor>
    <xdr:from>
      <xdr:col>13</xdr:col>
      <xdr:colOff>428089</xdr:colOff>
      <xdr:row>5</xdr:row>
      <xdr:rowOff>17554</xdr:rowOff>
    </xdr:from>
    <xdr:to>
      <xdr:col>18</xdr:col>
      <xdr:colOff>736313</xdr:colOff>
      <xdr:row>8</xdr:row>
      <xdr:rowOff>131806</xdr:rowOff>
    </xdr:to>
    <xdr:sp macro="" textlink="">
      <xdr:nvSpPr>
        <xdr:cNvPr id="6" name="Rectangle 5">
          <a:extLst>
            <a:ext uri="{FF2B5EF4-FFF2-40B4-BE49-F238E27FC236}">
              <a16:creationId xmlns:a16="http://schemas.microsoft.com/office/drawing/2014/main" id="{77E64D3D-04DC-34B2-46F7-B2265442CC01}"/>
            </a:ext>
          </a:extLst>
        </xdr:cNvPr>
        <xdr:cNvSpPr/>
      </xdr:nvSpPr>
      <xdr:spPr>
        <a:xfrm>
          <a:off x="8330628" y="916543"/>
          <a:ext cx="3347663" cy="65364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400" b="1"/>
            <a:t>EBITA</a:t>
          </a:r>
        </a:p>
      </xdr:txBody>
    </xdr:sp>
    <xdr:clientData/>
  </xdr:twoCellAnchor>
  <xdr:twoCellAnchor>
    <xdr:from>
      <xdr:col>15</xdr:col>
      <xdr:colOff>358983</xdr:colOff>
      <xdr:row>6</xdr:row>
      <xdr:rowOff>117819</xdr:rowOff>
    </xdr:from>
    <xdr:to>
      <xdr:col>17</xdr:col>
      <xdr:colOff>153349</xdr:colOff>
      <xdr:row>7</xdr:row>
      <xdr:rowOff>160421</xdr:rowOff>
    </xdr:to>
    <xdr:sp macro="" textlink="Sheet2!AK13">
      <xdr:nvSpPr>
        <xdr:cNvPr id="8" name="TextBox 7">
          <a:extLst>
            <a:ext uri="{FF2B5EF4-FFF2-40B4-BE49-F238E27FC236}">
              <a16:creationId xmlns:a16="http://schemas.microsoft.com/office/drawing/2014/main" id="{4BB8F8F7-2564-BDB6-384E-474DCEA9865B}"/>
            </a:ext>
          </a:extLst>
        </xdr:cNvPr>
        <xdr:cNvSpPr txBox="1"/>
      </xdr:nvSpPr>
      <xdr:spPr>
        <a:xfrm>
          <a:off x="9477298" y="1196606"/>
          <a:ext cx="1010141" cy="2223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03EA84-5232-45CC-8483-9F9B55E2C1EF}" type="TxLink">
            <a:rPr lang="en-US" sz="1400" b="1" i="0" u="none" strike="noStrike">
              <a:solidFill>
                <a:srgbClr val="000000"/>
              </a:solidFill>
              <a:latin typeface="Calibri"/>
              <a:ea typeface="Calibri"/>
              <a:cs typeface="Calibri"/>
            </a:rPr>
            <a:pPr algn="ctr"/>
            <a:t> 1,31,991 </a:t>
          </a:fld>
          <a:endParaRPr lang="en-IN" sz="1400" b="1"/>
        </a:p>
      </xdr:txBody>
    </xdr:sp>
    <xdr:clientData/>
  </xdr:twoCellAnchor>
  <xdr:twoCellAnchor>
    <xdr:from>
      <xdr:col>2</xdr:col>
      <xdr:colOff>574320</xdr:colOff>
      <xdr:row>4</xdr:row>
      <xdr:rowOff>163145</xdr:rowOff>
    </xdr:from>
    <xdr:to>
      <xdr:col>7</xdr:col>
      <xdr:colOff>556517</xdr:colOff>
      <xdr:row>8</xdr:row>
      <xdr:rowOff>144252</xdr:rowOff>
    </xdr:to>
    <xdr:sp macro="" textlink="">
      <xdr:nvSpPr>
        <xdr:cNvPr id="7" name="Rectangle 6">
          <a:extLst>
            <a:ext uri="{FF2B5EF4-FFF2-40B4-BE49-F238E27FC236}">
              <a16:creationId xmlns:a16="http://schemas.microsoft.com/office/drawing/2014/main" id="{D0107ABE-CEB4-4581-8DC6-7B8C9D86AFA2}"/>
            </a:ext>
          </a:extLst>
        </xdr:cNvPr>
        <xdr:cNvSpPr/>
      </xdr:nvSpPr>
      <xdr:spPr>
        <a:xfrm>
          <a:off x="1790095" y="882336"/>
          <a:ext cx="3021635" cy="70029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400" b="1"/>
            <a:t>TOTAL</a:t>
          </a:r>
          <a:r>
            <a:rPr lang="en-IN" sz="1400" b="1" baseline="0"/>
            <a:t> REVENUE</a:t>
          </a:r>
          <a:endParaRPr lang="en-IN" sz="1400" b="1"/>
        </a:p>
      </xdr:txBody>
    </xdr:sp>
    <xdr:clientData/>
  </xdr:twoCellAnchor>
  <xdr:twoCellAnchor>
    <xdr:from>
      <xdr:col>4</xdr:col>
      <xdr:colOff>183817</xdr:colOff>
      <xdr:row>6</xdr:row>
      <xdr:rowOff>67966</xdr:rowOff>
    </xdr:from>
    <xdr:to>
      <xdr:col>6</xdr:col>
      <xdr:colOff>202080</xdr:colOff>
      <xdr:row>7</xdr:row>
      <xdr:rowOff>149767</xdr:rowOff>
    </xdr:to>
    <xdr:sp macro="" textlink="Sheet2!AL6">
      <xdr:nvSpPr>
        <xdr:cNvPr id="9" name="TextBox 8">
          <a:extLst>
            <a:ext uri="{FF2B5EF4-FFF2-40B4-BE49-F238E27FC236}">
              <a16:creationId xmlns:a16="http://schemas.microsoft.com/office/drawing/2014/main" id="{E43938C1-34D0-0F30-2062-86339D18C904}"/>
            </a:ext>
          </a:extLst>
        </xdr:cNvPr>
        <xdr:cNvSpPr txBox="1"/>
      </xdr:nvSpPr>
      <xdr:spPr>
        <a:xfrm>
          <a:off x="2615368" y="1146753"/>
          <a:ext cx="1234038" cy="2615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68F7BDE-FB1D-4246-A880-EB5E1E01394F}" type="TxLink">
            <a:rPr lang="en-US" sz="1300" b="1" i="0" u="none" strike="noStrike">
              <a:solidFill>
                <a:srgbClr val="000000"/>
              </a:solidFill>
              <a:latin typeface="Calibri"/>
              <a:ea typeface="Calibri"/>
              <a:cs typeface="Calibri"/>
            </a:rPr>
            <a:pPr algn="ctr"/>
            <a:t> 4,03,820 </a:t>
          </a:fld>
          <a:endParaRPr lang="en-IN" sz="1300" b="1"/>
        </a:p>
      </xdr:txBody>
    </xdr:sp>
    <xdr:clientData/>
  </xdr:twoCellAnchor>
  <xdr:twoCellAnchor>
    <xdr:from>
      <xdr:col>2</xdr:col>
      <xdr:colOff>607848</xdr:colOff>
      <xdr:row>1</xdr:row>
      <xdr:rowOff>48216</xdr:rowOff>
    </xdr:from>
    <xdr:to>
      <xdr:col>26</xdr:col>
      <xdr:colOff>316523</xdr:colOff>
      <xdr:row>4</xdr:row>
      <xdr:rowOff>48216</xdr:rowOff>
    </xdr:to>
    <xdr:sp macro="" textlink="">
      <xdr:nvSpPr>
        <xdr:cNvPr id="10" name="Rectangle 9">
          <a:extLst>
            <a:ext uri="{FF2B5EF4-FFF2-40B4-BE49-F238E27FC236}">
              <a16:creationId xmlns:a16="http://schemas.microsoft.com/office/drawing/2014/main" id="{37694961-DE65-3B03-ACC3-BF9DFE62E061}"/>
            </a:ext>
          </a:extLst>
        </xdr:cNvPr>
        <xdr:cNvSpPr/>
      </xdr:nvSpPr>
      <xdr:spPr>
        <a:xfrm>
          <a:off x="1827048" y="235785"/>
          <a:ext cx="14022552" cy="56270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2800" b="1"/>
            <a:t>FINANCIAL</a:t>
          </a:r>
          <a:r>
            <a:rPr lang="en-IN" sz="2800" b="1" baseline="0"/>
            <a:t> </a:t>
          </a:r>
          <a:r>
            <a:rPr lang="en-IN" sz="2800" b="1"/>
            <a:t>SALES ANALYTICS DASHBOARD</a:t>
          </a:r>
        </a:p>
      </xdr:txBody>
    </xdr:sp>
    <xdr:clientData/>
  </xdr:twoCellAnchor>
  <xdr:twoCellAnchor editAs="oneCell">
    <xdr:from>
      <xdr:col>2</xdr:col>
      <xdr:colOff>589389</xdr:colOff>
      <xdr:row>9</xdr:row>
      <xdr:rowOff>108932</xdr:rowOff>
    </xdr:from>
    <xdr:to>
      <xdr:col>7</xdr:col>
      <xdr:colOff>376720</xdr:colOff>
      <xdr:row>17</xdr:row>
      <xdr:rowOff>128427</xdr:rowOff>
    </xdr:to>
    <mc:AlternateContent xmlns:mc="http://schemas.openxmlformats.org/markup-compatibility/2006">
      <mc:Choice xmlns:a14="http://schemas.microsoft.com/office/drawing/2010/main" Requires="a14">
        <xdr:graphicFrame macro="">
          <xdr:nvGraphicFramePr>
            <xdr:cNvPr id="11" name="Product">
              <a:extLst>
                <a:ext uri="{FF2B5EF4-FFF2-40B4-BE49-F238E27FC236}">
                  <a16:creationId xmlns:a16="http://schemas.microsoft.com/office/drawing/2014/main" id="{F1F16127-44BA-4DBC-A7E5-A64332EE6F6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804172" y="1798584"/>
              <a:ext cx="2824287" cy="15214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549932</xdr:colOff>
      <xdr:row>25</xdr:row>
      <xdr:rowOff>77055</xdr:rowOff>
    </xdr:from>
    <xdr:to>
      <xdr:col>7</xdr:col>
      <xdr:colOff>299664</xdr:colOff>
      <xdr:row>31</xdr:row>
      <xdr:rowOff>136988</xdr:rowOff>
    </xdr:to>
    <mc:AlternateContent xmlns:mc="http://schemas.openxmlformats.org/markup-compatibility/2006">
      <mc:Choice xmlns:a14="http://schemas.microsoft.com/office/drawing/2010/main" Requires="a14">
        <xdr:graphicFrame macro="">
          <xdr:nvGraphicFramePr>
            <xdr:cNvPr id="12" name="Payment_Method 1">
              <a:extLst>
                <a:ext uri="{FF2B5EF4-FFF2-40B4-BE49-F238E27FC236}">
                  <a16:creationId xmlns:a16="http://schemas.microsoft.com/office/drawing/2014/main" id="{C5BA05BB-7082-468F-9E90-3339DC3F4E3C}"/>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dr:sp macro="" textlink="">
          <xdr:nvSpPr>
            <xdr:cNvPr id="0" name=""/>
            <xdr:cNvSpPr>
              <a:spLocks noTextEdit="1"/>
            </xdr:cNvSpPr>
          </xdr:nvSpPr>
          <xdr:spPr>
            <a:xfrm>
              <a:off x="1764715" y="4770533"/>
              <a:ext cx="2786688" cy="11863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538447</xdr:colOff>
      <xdr:row>18</xdr:row>
      <xdr:rowOff>32364</xdr:rowOff>
    </xdr:from>
    <xdr:to>
      <xdr:col>7</xdr:col>
      <xdr:colOff>410966</xdr:colOff>
      <xdr:row>24</xdr:row>
      <xdr:rowOff>82681</xdr:rowOff>
    </xdr:to>
    <mc:AlternateContent xmlns:mc="http://schemas.openxmlformats.org/markup-compatibility/2006">
      <mc:Choice xmlns:a14="http://schemas.microsoft.com/office/drawing/2010/main" Requires="a14">
        <xdr:graphicFrame macro="">
          <xdr:nvGraphicFramePr>
            <xdr:cNvPr id="13" name="Category 1">
              <a:extLst>
                <a:ext uri="{FF2B5EF4-FFF2-40B4-BE49-F238E27FC236}">
                  <a16:creationId xmlns:a16="http://schemas.microsoft.com/office/drawing/2014/main" id="{07226064-8CD0-40B0-93C0-E7C64C36276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753230" y="3411668"/>
              <a:ext cx="2909475" cy="11767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393664</xdr:colOff>
      <xdr:row>10</xdr:row>
      <xdr:rowOff>48446</xdr:rowOff>
    </xdr:from>
    <xdr:to>
      <xdr:col>23</xdr:col>
      <xdr:colOff>342472</xdr:colOff>
      <xdr:row>26</xdr:row>
      <xdr:rowOff>154112</xdr:rowOff>
    </xdr:to>
    <xdr:graphicFrame macro="">
      <xdr:nvGraphicFramePr>
        <xdr:cNvPr id="14" name="Chart 13">
          <a:extLst>
            <a:ext uri="{FF2B5EF4-FFF2-40B4-BE49-F238E27FC236}">
              <a16:creationId xmlns:a16="http://schemas.microsoft.com/office/drawing/2014/main" id="{959D5029-FF48-4409-8BCD-1EEB25248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594689</xdr:colOff>
      <xdr:row>10</xdr:row>
      <xdr:rowOff>3768</xdr:rowOff>
    </xdr:from>
    <xdr:to>
      <xdr:col>15</xdr:col>
      <xdr:colOff>205483</xdr:colOff>
      <xdr:row>26</xdr:row>
      <xdr:rowOff>102741</xdr:rowOff>
    </xdr:to>
    <xdr:graphicFrame macro="">
      <xdr:nvGraphicFramePr>
        <xdr:cNvPr id="16" name="Chart 15">
          <a:extLst>
            <a:ext uri="{FF2B5EF4-FFF2-40B4-BE49-F238E27FC236}">
              <a16:creationId xmlns:a16="http://schemas.microsoft.com/office/drawing/2014/main" id="{C80E7BD0-821D-4C54-B2C3-619C93F5FE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519044</xdr:colOff>
      <xdr:row>27</xdr:row>
      <xdr:rowOff>40895</xdr:rowOff>
    </xdr:from>
    <xdr:to>
      <xdr:col>15</xdr:col>
      <xdr:colOff>242956</xdr:colOff>
      <xdr:row>42</xdr:row>
      <xdr:rowOff>154609</xdr:rowOff>
    </xdr:to>
    <xdr:graphicFrame macro="">
      <xdr:nvGraphicFramePr>
        <xdr:cNvPr id="17" name="Chart 16">
          <a:extLst>
            <a:ext uri="{FF2B5EF4-FFF2-40B4-BE49-F238E27FC236}">
              <a16:creationId xmlns:a16="http://schemas.microsoft.com/office/drawing/2014/main" id="{D2A350E5-292D-4187-BF19-99319A607D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381000</xdr:colOff>
      <xdr:row>27</xdr:row>
      <xdr:rowOff>88212</xdr:rowOff>
    </xdr:from>
    <xdr:to>
      <xdr:col>23</xdr:col>
      <xdr:colOff>297812</xdr:colOff>
      <xdr:row>42</xdr:row>
      <xdr:rowOff>72080</xdr:rowOff>
    </xdr:to>
    <xdr:graphicFrame macro="">
      <xdr:nvGraphicFramePr>
        <xdr:cNvPr id="18" name="Chart 17">
          <a:extLst>
            <a:ext uri="{FF2B5EF4-FFF2-40B4-BE49-F238E27FC236}">
              <a16:creationId xmlns:a16="http://schemas.microsoft.com/office/drawing/2014/main" id="{D708A16D-D6A3-4FD6-BB05-960A90F183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428537</xdr:colOff>
      <xdr:row>10</xdr:row>
      <xdr:rowOff>68493</xdr:rowOff>
    </xdr:from>
    <xdr:to>
      <xdr:col>29</xdr:col>
      <xdr:colOff>470899</xdr:colOff>
      <xdr:row>26</xdr:row>
      <xdr:rowOff>145550</xdr:rowOff>
    </xdr:to>
    <xdr:sp macro="" textlink="">
      <xdr:nvSpPr>
        <xdr:cNvPr id="19" name="Rectangle 18">
          <a:extLst>
            <a:ext uri="{FF2B5EF4-FFF2-40B4-BE49-F238E27FC236}">
              <a16:creationId xmlns:a16="http://schemas.microsoft.com/office/drawing/2014/main" id="{1EE4791F-8EC7-AE61-06C4-646FB2BD03C4}"/>
            </a:ext>
          </a:extLst>
        </xdr:cNvPr>
        <xdr:cNvSpPr/>
      </xdr:nvSpPr>
      <xdr:spPr>
        <a:xfrm>
          <a:off x="14093166" y="1866471"/>
          <a:ext cx="3689688" cy="295382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600" b="1"/>
            <a:t>BUSSINESS INSIGHTS:</a:t>
          </a:r>
        </a:p>
        <a:p>
          <a:r>
            <a:rPr lang="en-IN" sz="1600"/>
            <a:t>❖ Mocha was the top-performing product in terms of revenue.</a:t>
          </a:r>
        </a:p>
        <a:p>
          <a:r>
            <a:rPr lang="en-IN" sz="1600"/>
            <a:t>❖ Kiran generated the highest revenue among all employees.</a:t>
          </a:r>
        </a:p>
        <a:p>
          <a:r>
            <a:rPr lang="en-IN" sz="1600"/>
            <a:t>❖ Facebook was the highest-performing marketing channel based on revenue.</a:t>
          </a:r>
        </a:p>
        <a:p>
          <a:r>
            <a:rPr lang="en-IN" sz="1600"/>
            <a:t>❖ Revenue is concentrated in a few products, indicating that a small number of products drive most of the business revenue</a:t>
          </a:r>
          <a:r>
            <a:rPr lang="en-IN" sz="2000"/>
            <a:t>.</a:t>
          </a:r>
        </a:p>
        <a:p>
          <a:pPr algn="l"/>
          <a:endParaRPr lang="en-IN" sz="1600" b="1"/>
        </a:p>
        <a:p>
          <a:pPr algn="l"/>
          <a:endParaRPr lang="en-IN" sz="1100" b="1"/>
        </a:p>
      </xdr:txBody>
    </xdr:sp>
    <xdr:clientData/>
  </xdr:twoCellAnchor>
  <xdr:twoCellAnchor>
    <xdr:from>
      <xdr:col>23</xdr:col>
      <xdr:colOff>488023</xdr:colOff>
      <xdr:row>27</xdr:row>
      <xdr:rowOff>102742</xdr:rowOff>
    </xdr:from>
    <xdr:to>
      <xdr:col>29</xdr:col>
      <xdr:colOff>474870</xdr:colOff>
      <xdr:row>42</xdr:row>
      <xdr:rowOff>11044</xdr:rowOff>
    </xdr:to>
    <xdr:sp macro="" textlink="">
      <xdr:nvSpPr>
        <xdr:cNvPr id="20" name="Rectangle 19">
          <a:extLst>
            <a:ext uri="{FF2B5EF4-FFF2-40B4-BE49-F238E27FC236}">
              <a16:creationId xmlns:a16="http://schemas.microsoft.com/office/drawing/2014/main" id="{79E1F126-9484-36FC-C863-5C43951ADD53}"/>
            </a:ext>
          </a:extLst>
        </xdr:cNvPr>
        <xdr:cNvSpPr/>
      </xdr:nvSpPr>
      <xdr:spPr>
        <a:xfrm>
          <a:off x="14137762" y="5171699"/>
          <a:ext cx="3631195" cy="272438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600" b="1"/>
            <a:t>BUSSINESS RECOMMENDATIONS</a:t>
          </a:r>
          <a:r>
            <a:rPr lang="en-IN" sz="1600"/>
            <a:t>:</a:t>
          </a:r>
        </a:p>
        <a:p>
          <a:r>
            <a:rPr lang="en-IN" sz="1800"/>
            <a:t>❖ Increase promotions for Mocha to maximize sales.</a:t>
          </a:r>
        </a:p>
        <a:p>
          <a:r>
            <a:rPr lang="en-IN" sz="1800"/>
            <a:t>❖ Allocate more budget to the best-performing marketing channel.</a:t>
          </a:r>
        </a:p>
        <a:p>
          <a:r>
            <a:rPr lang="en-IN" sz="1800"/>
            <a:t>❖ Focus on improving sales of low-performing products through discounts or bundle offers.</a:t>
          </a:r>
        </a:p>
        <a:p>
          <a:pPr algn="l"/>
          <a:endParaRPr lang="en-IN" sz="1100"/>
        </a:p>
      </xdr:txBody>
    </xdr:sp>
    <xdr:clientData/>
  </xdr:twoCellAnchor>
  <xdr:twoCellAnchor editAs="oneCell">
    <xdr:from>
      <xdr:col>2</xdr:col>
      <xdr:colOff>510628</xdr:colOff>
      <xdr:row>32</xdr:row>
      <xdr:rowOff>15411</xdr:rowOff>
    </xdr:from>
    <xdr:to>
      <xdr:col>7</xdr:col>
      <xdr:colOff>276087</xdr:colOff>
      <xdr:row>41</xdr:row>
      <xdr:rowOff>121479</xdr:rowOff>
    </xdr:to>
    <mc:AlternateContent xmlns:mc="http://schemas.openxmlformats.org/markup-compatibility/2006">
      <mc:Choice xmlns:a14="http://schemas.microsoft.com/office/drawing/2010/main" Requires="a14">
        <xdr:graphicFrame macro="">
          <xdr:nvGraphicFramePr>
            <xdr:cNvPr id="15" name="Marketing_Channel">
              <a:extLst>
                <a:ext uri="{FF2B5EF4-FFF2-40B4-BE49-F238E27FC236}">
                  <a16:creationId xmlns:a16="http://schemas.microsoft.com/office/drawing/2014/main" id="{AB793194-C867-9C6C-4C7B-E173B70C60BB}"/>
                </a:ext>
              </a:extLst>
            </xdr:cNvPr>
            <xdr:cNvGraphicFramePr/>
          </xdr:nvGraphicFramePr>
          <xdr:xfrm>
            <a:off x="0" y="0"/>
            <a:ext cx="0" cy="0"/>
          </xdr:xfrm>
          <a:graphic>
            <a:graphicData uri="http://schemas.microsoft.com/office/drawing/2010/slicer">
              <sle:slicer xmlns:sle="http://schemas.microsoft.com/office/drawing/2010/slicer" name="Marketing_Channel"/>
            </a:graphicData>
          </a:graphic>
        </xdr:graphicFrame>
      </mc:Choice>
      <mc:Fallback>
        <xdr:sp macro="" textlink="">
          <xdr:nvSpPr>
            <xdr:cNvPr id="0" name=""/>
            <xdr:cNvSpPr>
              <a:spLocks noTextEdit="1"/>
            </xdr:cNvSpPr>
          </xdr:nvSpPr>
          <xdr:spPr>
            <a:xfrm>
              <a:off x="1725411" y="6023063"/>
              <a:ext cx="2802415" cy="1795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SHMA" refreshedDate="46233.784790162033" createdVersion="8" refreshedVersion="8" minRefreshableVersion="3" recordCount="1000" xr:uid="{DFDEBFD0-F8BC-4CF5-81D4-63A1F9386098}">
  <cacheSource type="worksheet">
    <worksheetSource ref="A1:Y1001" sheet="Transactions"/>
  </cacheSource>
  <cacheFields count="25">
    <cacheField name="Txn_ID" numFmtId="0">
      <sharedItems containsSemiMixedTypes="0" containsString="0" containsNumber="1" containsInteger="1" minValue="1" maxValue="1000"/>
    </cacheField>
    <cacheField name="Date" numFmtId="0">
      <sharedItems count="180">
        <s v="2026-02-21"/>
        <s v="2026-03-10"/>
        <s v="2026-03-22"/>
        <s v="2026-04-03"/>
        <s v="2026-05-14"/>
        <s v="2026-03-04"/>
        <s v="2026-02-10"/>
        <s v="2026-03-02"/>
        <s v="2026-06-28"/>
        <s v="2026-02-18"/>
        <s v="2026-01-11"/>
        <s v="2026-04-01"/>
        <s v="2026-05-04"/>
        <s v="2026-04-14"/>
        <s v="2026-02-22"/>
        <s v="2026-03-05"/>
        <s v="2026-04-25"/>
        <s v="2026-03-17"/>
        <s v="2026-04-27"/>
        <s v="2026-05-15"/>
        <s v="2026-04-18"/>
        <s v="2026-05-02"/>
        <s v="2026-04-04"/>
        <s v="2026-01-05"/>
        <s v="2026-03-13"/>
        <s v="2026-01-15"/>
        <s v="2026-02-24"/>
        <s v="2026-06-15"/>
        <s v="2026-06-29"/>
        <s v="2026-03-28"/>
        <s v="2026-02-06"/>
        <s v="2026-01-09"/>
        <s v="2026-06-18"/>
        <s v="2026-04-17"/>
        <s v="2026-02-03"/>
        <s v="2026-03-06"/>
        <s v="2026-06-16"/>
        <s v="2026-01-28"/>
        <s v="2026-06-03"/>
        <s v="2026-06-06"/>
        <s v="2026-06-13"/>
        <s v="2026-02-28"/>
        <s v="2026-02-19"/>
        <s v="2026-03-19"/>
        <s v="2026-03-30"/>
        <s v="2026-05-16"/>
        <s v="2026-01-03"/>
        <s v="2026-06-25"/>
        <s v="2026-06-21"/>
        <s v="2026-05-03"/>
        <s v="2026-05-17"/>
        <s v="2026-01-20"/>
        <s v="2026-01-01"/>
        <s v="2026-04-21"/>
        <s v="2026-04-13"/>
        <s v="2026-05-26"/>
        <s v="2026-06-22"/>
        <s v="2026-05-19"/>
        <s v="2026-01-29"/>
        <s v="2026-02-17"/>
        <s v="2026-03-12"/>
        <s v="2026-01-02"/>
        <s v="2026-05-21"/>
        <s v="2026-02-11"/>
        <s v="2026-05-22"/>
        <s v="2026-03-11"/>
        <s v="2026-06-02"/>
        <s v="2026-02-13"/>
        <s v="2026-05-11"/>
        <s v="2026-03-24"/>
        <s v="2026-05-28"/>
        <s v="2026-06-01"/>
        <s v="2026-02-09"/>
        <s v="2026-01-24"/>
        <s v="2026-03-01"/>
        <s v="2026-02-16"/>
        <s v="2026-03-25"/>
        <s v="2026-01-18"/>
        <s v="2026-04-07"/>
        <s v="2026-02-05"/>
        <s v="2026-04-08"/>
        <s v="2026-05-12"/>
        <s v="2026-03-07"/>
        <s v="2026-01-08"/>
        <s v="2026-05-29"/>
        <s v="2026-05-27"/>
        <s v="2026-03-31"/>
        <s v="2026-04-12"/>
        <s v="2026-03-14"/>
        <s v="2026-03-26"/>
        <s v="2026-02-26"/>
        <s v="2026-01-12"/>
        <s v="2026-06-23"/>
        <s v="2026-06-20"/>
        <s v="2026-04-29"/>
        <s v="2026-05-10"/>
        <s v="2026-01-30"/>
        <s v="2026-05-06"/>
        <s v="2026-05-08"/>
        <s v="2026-06-11"/>
        <s v="2026-02-27"/>
        <s v="2026-02-04"/>
        <s v="2026-06-04"/>
        <s v="2026-04-28"/>
        <s v="2026-02-14"/>
        <s v="2026-04-26"/>
        <s v="2026-02-01"/>
        <s v="2026-05-13"/>
        <s v="2026-04-23"/>
        <s v="2026-03-16"/>
        <s v="2026-04-09"/>
        <s v="2026-03-23"/>
        <s v="2026-01-06"/>
        <s v="2026-05-25"/>
        <s v="2026-04-30"/>
        <s v="2026-02-12"/>
        <s v="2026-01-31"/>
        <s v="2026-06-05"/>
        <s v="2026-05-23"/>
        <s v="2026-03-08"/>
        <s v="2026-02-08"/>
        <s v="2026-01-13"/>
        <s v="2026-01-16"/>
        <s v="2026-05-18"/>
        <s v="2026-06-12"/>
        <s v="2026-01-27"/>
        <s v="2026-01-14"/>
        <s v="2026-01-10"/>
        <s v="2026-04-20"/>
        <s v="2026-01-19"/>
        <s v="2026-05-07"/>
        <s v="2026-01-04"/>
        <s v="2026-02-07"/>
        <s v="2026-04-05"/>
        <s v="2026-02-25"/>
        <s v="2026-04-02"/>
        <s v="2026-04-19"/>
        <s v="2026-06-24"/>
        <s v="2026-03-27"/>
        <s v="2026-03-29"/>
        <s v="2026-04-06"/>
        <s v="2026-06-09"/>
        <s v="2026-05-30"/>
        <s v="2026-01-07"/>
        <s v="2026-05-05"/>
        <s v="2026-02-15"/>
        <s v="2026-04-11"/>
        <s v="2026-01-25"/>
        <s v="2026-05-01"/>
        <s v="2026-01-17"/>
        <s v="2026-01-23"/>
        <s v="2026-01-26"/>
        <s v="2026-05-09"/>
        <s v="2026-06-17"/>
        <s v="2026-06-27"/>
        <s v="2026-06-07"/>
        <s v="2026-02-20"/>
        <s v="2026-03-20"/>
        <s v="2026-03-15"/>
        <s v="2026-05-20"/>
        <s v="2026-01-22"/>
        <s v="2026-03-18"/>
        <s v="2026-02-23"/>
        <s v="2026-06-08"/>
        <s v="2026-04-24"/>
        <s v="2026-04-10"/>
        <s v="2026-04-22"/>
        <s v="2026-06-26"/>
        <s v="2026-03-03"/>
        <s v="2026-02-02"/>
        <s v="2026-05-24"/>
        <s v="2026-06-19"/>
        <s v="2026-04-15"/>
        <s v="2026-06-10"/>
        <s v="2026-03-21"/>
        <s v="2026-05-31"/>
        <s v="2026-04-16"/>
        <s v="2026-06-14"/>
        <s v="2026-01-21"/>
        <s v="2026-03-09"/>
      </sharedItems>
    </cacheField>
    <cacheField name="Customer_ID" numFmtId="0">
      <sharedItems/>
    </cacheField>
    <cacheField name="Product" numFmtId="0">
      <sharedItems count="8">
        <s v="Cappuccino"/>
        <s v="Mocha"/>
        <s v="Tea"/>
        <s v="Sandwich"/>
        <s v="Espresso"/>
        <s v="Cold Coffee"/>
        <s v="Latte"/>
        <s v="Brownie"/>
      </sharedItems>
    </cacheField>
    <cacheField name="Category" numFmtId="0">
      <sharedItems count="3">
        <s v="Coffee"/>
        <s v="Tea"/>
        <s v="Food"/>
      </sharedItems>
    </cacheField>
    <cacheField name="Qty" numFmtId="0">
      <sharedItems containsSemiMixedTypes="0" containsString="0" containsNumber="1" containsInteger="1" minValue="1" maxValue="4"/>
    </cacheField>
    <cacheField name="Selling_Price" numFmtId="0">
      <sharedItems containsSemiMixedTypes="0" containsString="0" containsNumber="1" containsInteger="1" minValue="80" maxValue="250"/>
    </cacheField>
    <cacheField name="Revenue" numFmtId="0">
      <sharedItems containsSemiMixedTypes="0" containsString="0" containsNumber="1" containsInteger="1" minValue="80" maxValue="1000"/>
    </cacheField>
    <cacheField name="Unit_Cost" numFmtId="0">
      <sharedItems containsSemiMixedTypes="0" containsString="0" containsNumber="1" containsInteger="1" minValue="30" maxValue="110"/>
    </cacheField>
    <cacheField name="COGS" numFmtId="0">
      <sharedItems containsSemiMixedTypes="0" containsString="0" containsNumber="1" containsInteger="1" minValue="30" maxValue="440"/>
    </cacheField>
    <cacheField name="Gross_Profit" numFmtId="0">
      <sharedItems containsSemiMixedTypes="0" containsString="0" containsNumber="1" containsInteger="1" minValue="50" maxValue="560"/>
    </cacheField>
    <cacheField name="Marketing_Channel" numFmtId="0">
      <sharedItems count="5">
        <s v="Facebook"/>
        <s v="Instagram"/>
        <s v="Organic"/>
        <s v="Google"/>
        <s v="Walk-in"/>
      </sharedItems>
    </cacheField>
    <cacheField name="Ad_Campaign" numFmtId="0">
      <sharedItems count="5">
        <s v="Loyalty"/>
        <s v="Weekend"/>
        <s v="None"/>
        <s v="Summer"/>
        <s v="Festival"/>
      </sharedItems>
    </cacheField>
    <cacheField name="Employee" numFmtId="0">
      <sharedItems count="6">
        <s v="Asha"/>
        <s v="Rahul"/>
        <s v="Sneha"/>
        <s v="Priya"/>
        <s v="John"/>
        <s v="Kiran"/>
      </sharedItems>
    </cacheField>
    <cacheField name="Rent_Allocated" numFmtId="0">
      <sharedItems containsSemiMixedTypes="0" containsString="0" containsNumber="1" minValue="10.050000000000001" maxValue="40"/>
    </cacheField>
    <cacheField name="Salary_Allocated" numFmtId="0">
      <sharedItems containsSemiMixedTypes="0" containsString="0" containsNumber="1" minValue="15.05" maxValue="59.94"/>
    </cacheField>
    <cacheField name="Utilities_Allocated" numFmtId="0">
      <sharedItems containsSemiMixedTypes="0" containsString="0" containsNumber="1" minValue="5" maxValue="19.989999999999998"/>
    </cacheField>
    <cacheField name="Marketing_Cost_Allocated" numFmtId="0">
      <sharedItems containsSemiMixedTypes="0" containsString="0" containsNumber="1" minValue="0.01" maxValue="34.94"/>
    </cacheField>
    <cacheField name="Interest" numFmtId="0">
      <sharedItems containsSemiMixedTypes="0" containsString="0" containsNumber="1" minValue="0" maxValue="5"/>
    </cacheField>
    <cacheField name="Tax" numFmtId="0">
      <sharedItems containsSemiMixedTypes="0" containsString="0" containsNumber="1" minValue="2" maxValue="14.99"/>
    </cacheField>
    <cacheField name="Depreciation" numFmtId="0">
      <sharedItems containsSemiMixedTypes="0" containsString="0" containsNumber="1" minValue="1" maxValue="8"/>
    </cacheField>
    <cacheField name="Amortization" numFmtId="0">
      <sharedItems containsSemiMixedTypes="0" containsString="0" containsNumber="1" minValue="0" maxValue="3"/>
    </cacheField>
    <cacheField name="Net_Profit" numFmtId="0">
      <sharedItems containsSemiMixedTypes="0" containsString="0" containsNumber="1" minValue="-88.69" maxValue="490.41"/>
    </cacheField>
    <cacheField name="Payment_Method" numFmtId="0">
      <sharedItems count="3">
        <s v="UPI"/>
        <s v="Card"/>
        <s v="Cash"/>
      </sharedItems>
    </cacheField>
    <cacheField name="New_Customer" numFmtId="0">
      <sharedItems count="2">
        <s v="No"/>
        <s v="Yes"/>
      </sharedItems>
    </cacheField>
  </cacheFields>
  <extLst>
    <ext xmlns:x14="http://schemas.microsoft.com/office/spreadsheetml/2009/9/main" uri="{725AE2AE-9491-48be-B2B4-4EB974FC3084}">
      <x14:pivotCacheDefinition pivotCacheId="1412838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s v="C1253"/>
    <x v="0"/>
    <x v="0"/>
    <n v="4"/>
    <n v="200"/>
    <n v="800"/>
    <n v="90"/>
    <n v="360"/>
    <n v="440"/>
    <x v="0"/>
    <x v="0"/>
    <x v="0"/>
    <n v="23.95"/>
    <n v="36.26"/>
    <n v="8.42"/>
    <n v="33.090000000000003"/>
    <n v="4.82"/>
    <n v="3.9"/>
    <n v="5.48"/>
    <n v="0.63"/>
    <n v="323.45"/>
    <x v="0"/>
    <x v="0"/>
  </r>
  <r>
    <n v="2"/>
    <x v="1"/>
    <s v="C1194"/>
    <x v="1"/>
    <x v="0"/>
    <n v="1"/>
    <n v="220"/>
    <n v="220"/>
    <n v="100"/>
    <n v="100"/>
    <n v="120"/>
    <x v="1"/>
    <x v="1"/>
    <x v="1"/>
    <n v="29.71"/>
    <n v="44.7"/>
    <n v="17.87"/>
    <n v="17.3"/>
    <n v="2.88"/>
    <n v="8.39"/>
    <n v="1.48"/>
    <n v="0.64"/>
    <n v="-2.97"/>
    <x v="0"/>
    <x v="1"/>
  </r>
  <r>
    <n v="3"/>
    <x v="2"/>
    <s v="C1223"/>
    <x v="2"/>
    <x v="1"/>
    <n v="1"/>
    <n v="80"/>
    <n v="80"/>
    <n v="30"/>
    <n v="30"/>
    <n v="50"/>
    <x v="2"/>
    <x v="2"/>
    <x v="2"/>
    <n v="13.55"/>
    <n v="48.18"/>
    <n v="6.9"/>
    <n v="31.09"/>
    <n v="0.3"/>
    <n v="2.09"/>
    <n v="5.2"/>
    <n v="1.25"/>
    <n v="-58.56"/>
    <x v="0"/>
    <x v="0"/>
  </r>
  <r>
    <n v="4"/>
    <x v="3"/>
    <s v="C1091"/>
    <x v="3"/>
    <x v="2"/>
    <n v="4"/>
    <n v="180"/>
    <n v="720"/>
    <n v="90"/>
    <n v="360"/>
    <n v="360"/>
    <x v="2"/>
    <x v="1"/>
    <x v="3"/>
    <n v="11.99"/>
    <n v="31.3"/>
    <n v="15.23"/>
    <n v="34.78"/>
    <n v="4.5999999999999996"/>
    <n v="7.29"/>
    <n v="1.85"/>
    <n v="2.36"/>
    <n v="250.6"/>
    <x v="0"/>
    <x v="0"/>
  </r>
  <r>
    <n v="5"/>
    <x v="4"/>
    <s v="C1196"/>
    <x v="4"/>
    <x v="0"/>
    <n v="2"/>
    <n v="120"/>
    <n v="240"/>
    <n v="50"/>
    <n v="100"/>
    <n v="140"/>
    <x v="3"/>
    <x v="3"/>
    <x v="1"/>
    <n v="16.47"/>
    <n v="46.8"/>
    <n v="13.49"/>
    <n v="9.1300000000000008"/>
    <n v="1.6"/>
    <n v="13.46"/>
    <n v="3.16"/>
    <n v="2.93"/>
    <n v="32.96"/>
    <x v="1"/>
    <x v="0"/>
  </r>
  <r>
    <n v="6"/>
    <x v="5"/>
    <s v="C1134"/>
    <x v="4"/>
    <x v="0"/>
    <n v="3"/>
    <n v="120"/>
    <n v="360"/>
    <n v="50"/>
    <n v="150"/>
    <n v="210"/>
    <x v="0"/>
    <x v="3"/>
    <x v="2"/>
    <n v="22.33"/>
    <n v="46.92"/>
    <n v="15.02"/>
    <n v="0.98"/>
    <n v="1.4"/>
    <n v="14.02"/>
    <n v="2.4900000000000002"/>
    <n v="1.8"/>
    <n v="105.04"/>
    <x v="1"/>
    <x v="0"/>
  </r>
  <r>
    <n v="7"/>
    <x v="6"/>
    <s v="C1080"/>
    <x v="5"/>
    <x v="0"/>
    <n v="2"/>
    <n v="250"/>
    <n v="500"/>
    <n v="110"/>
    <n v="220"/>
    <n v="280"/>
    <x v="3"/>
    <x v="4"/>
    <x v="1"/>
    <n v="17.18"/>
    <n v="48.83"/>
    <n v="12.35"/>
    <n v="21.62"/>
    <n v="2.08"/>
    <n v="8.2100000000000009"/>
    <n v="3.3"/>
    <n v="2.06"/>
    <n v="164.37"/>
    <x v="0"/>
    <x v="0"/>
  </r>
  <r>
    <n v="8"/>
    <x v="7"/>
    <s v="C1271"/>
    <x v="3"/>
    <x v="2"/>
    <n v="4"/>
    <n v="180"/>
    <n v="720"/>
    <n v="90"/>
    <n v="360"/>
    <n v="360"/>
    <x v="3"/>
    <x v="1"/>
    <x v="2"/>
    <n v="22.43"/>
    <n v="39.99"/>
    <n v="6.09"/>
    <n v="4.47"/>
    <n v="2.61"/>
    <n v="8.27"/>
    <n v="3.38"/>
    <n v="7.0000000000000007E-2"/>
    <n v="272.69"/>
    <x v="2"/>
    <x v="1"/>
  </r>
  <r>
    <n v="9"/>
    <x v="8"/>
    <s v="C1054"/>
    <x v="1"/>
    <x v="0"/>
    <n v="3"/>
    <n v="220"/>
    <n v="660"/>
    <n v="100"/>
    <n v="300"/>
    <n v="360"/>
    <x v="0"/>
    <x v="4"/>
    <x v="3"/>
    <n v="17.62"/>
    <n v="41.16"/>
    <n v="16.690000000000001"/>
    <n v="28.19"/>
    <n v="3.02"/>
    <n v="9.36"/>
    <n v="6.35"/>
    <n v="0.24"/>
    <n v="237.37"/>
    <x v="2"/>
    <x v="0"/>
  </r>
  <r>
    <n v="10"/>
    <x v="9"/>
    <s v="C1090"/>
    <x v="4"/>
    <x v="0"/>
    <n v="1"/>
    <n v="120"/>
    <n v="120"/>
    <n v="50"/>
    <n v="50"/>
    <n v="70"/>
    <x v="2"/>
    <x v="0"/>
    <x v="2"/>
    <n v="24.54"/>
    <n v="50.33"/>
    <n v="6.14"/>
    <n v="28.17"/>
    <n v="1.06"/>
    <n v="7.73"/>
    <n v="2.3199999999999998"/>
    <n v="0.59"/>
    <n v="-50.88"/>
    <x v="0"/>
    <x v="0"/>
  </r>
  <r>
    <n v="11"/>
    <x v="10"/>
    <s v="C1250"/>
    <x v="5"/>
    <x v="0"/>
    <n v="3"/>
    <n v="250"/>
    <n v="750"/>
    <n v="110"/>
    <n v="330"/>
    <n v="420"/>
    <x v="1"/>
    <x v="4"/>
    <x v="1"/>
    <n v="22.16"/>
    <n v="43.28"/>
    <n v="16.29"/>
    <n v="16.52"/>
    <n v="4.75"/>
    <n v="7.47"/>
    <n v="7.65"/>
    <n v="2.58"/>
    <n v="299.3"/>
    <x v="1"/>
    <x v="0"/>
  </r>
  <r>
    <n v="12"/>
    <x v="11"/>
    <s v="C1119"/>
    <x v="1"/>
    <x v="0"/>
    <n v="4"/>
    <n v="220"/>
    <n v="880"/>
    <n v="100"/>
    <n v="400"/>
    <n v="480"/>
    <x v="1"/>
    <x v="4"/>
    <x v="3"/>
    <n v="32.74"/>
    <n v="25.53"/>
    <n v="19.329999999999998"/>
    <n v="16.920000000000002"/>
    <n v="0.56999999999999995"/>
    <n v="8.9"/>
    <n v="4.75"/>
    <n v="0.61"/>
    <n v="370.65"/>
    <x v="1"/>
    <x v="0"/>
  </r>
  <r>
    <n v="13"/>
    <x v="12"/>
    <s v="C1275"/>
    <x v="2"/>
    <x v="1"/>
    <n v="4"/>
    <n v="80"/>
    <n v="320"/>
    <n v="30"/>
    <n v="120"/>
    <n v="200"/>
    <x v="3"/>
    <x v="3"/>
    <x v="0"/>
    <n v="24.75"/>
    <n v="59.25"/>
    <n v="17.059999999999999"/>
    <n v="17.829999999999998"/>
    <n v="3.11"/>
    <n v="10.69"/>
    <n v="1.5"/>
    <n v="2.56"/>
    <n v="63.25"/>
    <x v="1"/>
    <x v="0"/>
  </r>
  <r>
    <n v="14"/>
    <x v="13"/>
    <s v="C1040"/>
    <x v="2"/>
    <x v="1"/>
    <n v="2"/>
    <n v="80"/>
    <n v="160"/>
    <n v="30"/>
    <n v="60"/>
    <n v="100"/>
    <x v="1"/>
    <x v="1"/>
    <x v="2"/>
    <n v="18.21"/>
    <n v="48.51"/>
    <n v="12.95"/>
    <n v="6.86"/>
    <n v="0.4"/>
    <n v="12.39"/>
    <n v="5.97"/>
    <n v="2.57"/>
    <n v="-7.86"/>
    <x v="2"/>
    <x v="0"/>
  </r>
  <r>
    <n v="15"/>
    <x v="14"/>
    <s v="C1100"/>
    <x v="1"/>
    <x v="0"/>
    <n v="2"/>
    <n v="220"/>
    <n v="440"/>
    <n v="100"/>
    <n v="200"/>
    <n v="240"/>
    <x v="3"/>
    <x v="0"/>
    <x v="4"/>
    <n v="30.59"/>
    <n v="52.82"/>
    <n v="8"/>
    <n v="9.7100000000000009"/>
    <n v="4.59"/>
    <n v="13.89"/>
    <n v="6.73"/>
    <n v="0.56999999999999995"/>
    <n v="113.1"/>
    <x v="0"/>
    <x v="0"/>
  </r>
  <r>
    <n v="16"/>
    <x v="15"/>
    <s v="C1327"/>
    <x v="3"/>
    <x v="2"/>
    <n v="2"/>
    <n v="180"/>
    <n v="360"/>
    <n v="90"/>
    <n v="180"/>
    <n v="180"/>
    <x v="1"/>
    <x v="0"/>
    <x v="1"/>
    <n v="29.28"/>
    <n v="59.71"/>
    <n v="13.16"/>
    <n v="9.91"/>
    <n v="1.9"/>
    <n v="13.09"/>
    <n v="3.09"/>
    <n v="1.1499999999999999"/>
    <n v="48.71"/>
    <x v="1"/>
    <x v="0"/>
  </r>
  <r>
    <n v="17"/>
    <x v="16"/>
    <s v="C1141"/>
    <x v="1"/>
    <x v="0"/>
    <n v="1"/>
    <n v="220"/>
    <n v="220"/>
    <n v="100"/>
    <n v="100"/>
    <n v="120"/>
    <x v="4"/>
    <x v="4"/>
    <x v="1"/>
    <n v="36.31"/>
    <n v="49.59"/>
    <n v="17.18"/>
    <n v="13.05"/>
    <n v="2.9"/>
    <n v="10.59"/>
    <n v="3.6"/>
    <n v="2.71"/>
    <n v="-15.93"/>
    <x v="0"/>
    <x v="1"/>
  </r>
  <r>
    <n v="18"/>
    <x v="17"/>
    <s v="C1242"/>
    <x v="6"/>
    <x v="0"/>
    <n v="2"/>
    <n v="180"/>
    <n v="360"/>
    <n v="75"/>
    <n v="150"/>
    <n v="210"/>
    <x v="0"/>
    <x v="2"/>
    <x v="5"/>
    <n v="37.14"/>
    <n v="29.37"/>
    <n v="18.87"/>
    <n v="21.19"/>
    <n v="4.7699999999999996"/>
    <n v="7.03"/>
    <n v="4.41"/>
    <n v="1.65"/>
    <n v="85.57"/>
    <x v="0"/>
    <x v="0"/>
  </r>
  <r>
    <n v="19"/>
    <x v="18"/>
    <s v="C1102"/>
    <x v="2"/>
    <x v="1"/>
    <n v="3"/>
    <n v="80"/>
    <n v="240"/>
    <n v="30"/>
    <n v="90"/>
    <n v="150"/>
    <x v="0"/>
    <x v="4"/>
    <x v="2"/>
    <n v="32.99"/>
    <n v="38.619999999999997"/>
    <n v="14.22"/>
    <n v="8.2100000000000009"/>
    <n v="4.49"/>
    <n v="7.12"/>
    <n v="3.69"/>
    <n v="2.2000000000000002"/>
    <n v="38.46"/>
    <x v="2"/>
    <x v="1"/>
  </r>
  <r>
    <n v="20"/>
    <x v="19"/>
    <s v="C1243"/>
    <x v="6"/>
    <x v="0"/>
    <n v="2"/>
    <n v="180"/>
    <n v="360"/>
    <n v="75"/>
    <n v="150"/>
    <n v="210"/>
    <x v="3"/>
    <x v="2"/>
    <x v="0"/>
    <n v="24.24"/>
    <n v="38.72"/>
    <n v="17.52"/>
    <n v="31.85"/>
    <n v="1.84"/>
    <n v="12.81"/>
    <n v="4.08"/>
    <n v="0.37"/>
    <n v="78.569999999999993"/>
    <x v="2"/>
    <x v="0"/>
  </r>
  <r>
    <n v="21"/>
    <x v="20"/>
    <s v="C1269"/>
    <x v="3"/>
    <x v="2"/>
    <n v="1"/>
    <n v="180"/>
    <n v="180"/>
    <n v="90"/>
    <n v="90"/>
    <n v="90"/>
    <x v="2"/>
    <x v="0"/>
    <x v="2"/>
    <n v="18.41"/>
    <n v="24.96"/>
    <n v="15.88"/>
    <n v="29.99"/>
    <n v="0.91"/>
    <n v="11.31"/>
    <n v="1.33"/>
    <n v="1.04"/>
    <n v="-13.83"/>
    <x v="2"/>
    <x v="0"/>
  </r>
  <r>
    <n v="22"/>
    <x v="21"/>
    <s v="C1103"/>
    <x v="6"/>
    <x v="0"/>
    <n v="2"/>
    <n v="180"/>
    <n v="360"/>
    <n v="75"/>
    <n v="150"/>
    <n v="210"/>
    <x v="4"/>
    <x v="3"/>
    <x v="4"/>
    <n v="22.24"/>
    <n v="23.07"/>
    <n v="10.07"/>
    <n v="26.57"/>
    <n v="3.05"/>
    <n v="3.19"/>
    <n v="5.76"/>
    <n v="0.94"/>
    <n v="115.11"/>
    <x v="2"/>
    <x v="1"/>
  </r>
  <r>
    <n v="23"/>
    <x v="22"/>
    <s v="C1289"/>
    <x v="1"/>
    <x v="0"/>
    <n v="2"/>
    <n v="220"/>
    <n v="440"/>
    <n v="100"/>
    <n v="200"/>
    <n v="240"/>
    <x v="1"/>
    <x v="0"/>
    <x v="3"/>
    <n v="18.45"/>
    <n v="29.54"/>
    <n v="16.57"/>
    <n v="20.99"/>
    <n v="1.65"/>
    <n v="13.21"/>
    <n v="2.38"/>
    <n v="1.65"/>
    <n v="135.56"/>
    <x v="2"/>
    <x v="0"/>
  </r>
  <r>
    <n v="24"/>
    <x v="23"/>
    <s v="C1058"/>
    <x v="1"/>
    <x v="0"/>
    <n v="4"/>
    <n v="220"/>
    <n v="880"/>
    <n v="100"/>
    <n v="400"/>
    <n v="480"/>
    <x v="0"/>
    <x v="0"/>
    <x v="0"/>
    <n v="30.51"/>
    <n v="17.329999999999998"/>
    <n v="6.45"/>
    <n v="20.32"/>
    <n v="2.2799999999999998"/>
    <n v="3.13"/>
    <n v="5.32"/>
    <n v="2.8"/>
    <n v="391.86"/>
    <x v="0"/>
    <x v="1"/>
  </r>
  <r>
    <n v="25"/>
    <x v="24"/>
    <s v="C1200"/>
    <x v="5"/>
    <x v="0"/>
    <n v="2"/>
    <n v="250"/>
    <n v="500"/>
    <n v="110"/>
    <n v="220"/>
    <n v="280"/>
    <x v="0"/>
    <x v="4"/>
    <x v="0"/>
    <n v="31.15"/>
    <n v="15.97"/>
    <n v="6.18"/>
    <n v="33.03"/>
    <n v="1.17"/>
    <n v="7.97"/>
    <n v="4.67"/>
    <n v="0.18"/>
    <n v="179.68"/>
    <x v="0"/>
    <x v="1"/>
  </r>
  <r>
    <n v="26"/>
    <x v="25"/>
    <s v="C1085"/>
    <x v="5"/>
    <x v="0"/>
    <n v="2"/>
    <n v="250"/>
    <n v="500"/>
    <n v="110"/>
    <n v="220"/>
    <n v="280"/>
    <x v="3"/>
    <x v="4"/>
    <x v="4"/>
    <n v="35.93"/>
    <n v="46.8"/>
    <n v="6.93"/>
    <n v="12.4"/>
    <n v="2.64"/>
    <n v="7.01"/>
    <n v="1.19"/>
    <n v="0.79"/>
    <n v="166.31"/>
    <x v="1"/>
    <x v="0"/>
  </r>
  <r>
    <n v="27"/>
    <x v="26"/>
    <s v="C1022"/>
    <x v="7"/>
    <x v="2"/>
    <n v="4"/>
    <n v="150"/>
    <n v="600"/>
    <n v="70"/>
    <n v="280"/>
    <n v="320"/>
    <x v="2"/>
    <x v="4"/>
    <x v="5"/>
    <n v="21.36"/>
    <n v="49.06"/>
    <n v="8.16"/>
    <n v="15.82"/>
    <n v="3.08"/>
    <n v="13.25"/>
    <n v="2.8"/>
    <n v="1.39"/>
    <n v="205.08"/>
    <x v="2"/>
    <x v="0"/>
  </r>
  <r>
    <n v="28"/>
    <x v="27"/>
    <s v="C1297"/>
    <x v="6"/>
    <x v="0"/>
    <n v="1"/>
    <n v="180"/>
    <n v="180"/>
    <n v="75"/>
    <n v="75"/>
    <n v="105"/>
    <x v="3"/>
    <x v="4"/>
    <x v="1"/>
    <n v="18.48"/>
    <n v="38.75"/>
    <n v="13.36"/>
    <n v="25.18"/>
    <n v="4.67"/>
    <n v="7.63"/>
    <n v="2.08"/>
    <n v="1.24"/>
    <n v="-6.39"/>
    <x v="1"/>
    <x v="0"/>
  </r>
  <r>
    <n v="29"/>
    <x v="23"/>
    <s v="C1099"/>
    <x v="2"/>
    <x v="1"/>
    <n v="1"/>
    <n v="80"/>
    <n v="80"/>
    <n v="30"/>
    <n v="30"/>
    <n v="50"/>
    <x v="1"/>
    <x v="0"/>
    <x v="3"/>
    <n v="17.739999999999998"/>
    <n v="43.15"/>
    <n v="16.170000000000002"/>
    <n v="4.4800000000000004"/>
    <n v="3.44"/>
    <n v="11.38"/>
    <n v="7.86"/>
    <n v="2.2000000000000002"/>
    <n v="-56.42"/>
    <x v="0"/>
    <x v="1"/>
  </r>
  <r>
    <n v="30"/>
    <x v="28"/>
    <s v="C1222"/>
    <x v="3"/>
    <x v="2"/>
    <n v="4"/>
    <n v="180"/>
    <n v="720"/>
    <n v="90"/>
    <n v="360"/>
    <n v="360"/>
    <x v="0"/>
    <x v="2"/>
    <x v="0"/>
    <n v="37.159999999999997"/>
    <n v="44.94"/>
    <n v="6.98"/>
    <n v="15.03"/>
    <n v="0.75"/>
    <n v="2.85"/>
    <n v="1.56"/>
    <n v="2.83"/>
    <n v="247.9"/>
    <x v="2"/>
    <x v="0"/>
  </r>
  <r>
    <n v="31"/>
    <x v="29"/>
    <s v="C1005"/>
    <x v="4"/>
    <x v="0"/>
    <n v="2"/>
    <n v="120"/>
    <n v="240"/>
    <n v="50"/>
    <n v="100"/>
    <n v="140"/>
    <x v="3"/>
    <x v="1"/>
    <x v="2"/>
    <n v="26.35"/>
    <n v="17.5"/>
    <n v="18.02"/>
    <n v="3.53"/>
    <n v="1.18"/>
    <n v="5.37"/>
    <n v="6.06"/>
    <n v="2.4"/>
    <n v="59.59"/>
    <x v="0"/>
    <x v="0"/>
  </r>
  <r>
    <n v="32"/>
    <x v="30"/>
    <s v="C1233"/>
    <x v="6"/>
    <x v="0"/>
    <n v="2"/>
    <n v="180"/>
    <n v="360"/>
    <n v="75"/>
    <n v="150"/>
    <n v="210"/>
    <x v="1"/>
    <x v="1"/>
    <x v="1"/>
    <n v="18.899999999999999"/>
    <n v="45.54"/>
    <n v="14.85"/>
    <n v="6.87"/>
    <n v="3.96"/>
    <n v="9.73"/>
    <n v="4.17"/>
    <n v="2.11"/>
    <n v="103.87"/>
    <x v="1"/>
    <x v="1"/>
  </r>
  <r>
    <n v="33"/>
    <x v="31"/>
    <s v="C1191"/>
    <x v="2"/>
    <x v="1"/>
    <n v="1"/>
    <n v="80"/>
    <n v="80"/>
    <n v="30"/>
    <n v="30"/>
    <n v="50"/>
    <x v="2"/>
    <x v="1"/>
    <x v="2"/>
    <n v="23.28"/>
    <n v="18.73"/>
    <n v="16.97"/>
    <n v="12.34"/>
    <n v="2.93"/>
    <n v="5.43"/>
    <n v="3.79"/>
    <n v="1.0900000000000001"/>
    <n v="-34.56"/>
    <x v="1"/>
    <x v="0"/>
  </r>
  <r>
    <n v="34"/>
    <x v="32"/>
    <s v="C1182"/>
    <x v="6"/>
    <x v="0"/>
    <n v="1"/>
    <n v="180"/>
    <n v="180"/>
    <n v="75"/>
    <n v="75"/>
    <n v="105"/>
    <x v="4"/>
    <x v="0"/>
    <x v="5"/>
    <n v="28.31"/>
    <n v="21.52"/>
    <n v="8.3800000000000008"/>
    <n v="32.25"/>
    <n v="0.26"/>
    <n v="6.71"/>
    <n v="6.17"/>
    <n v="0.94"/>
    <n v="0.46"/>
    <x v="2"/>
    <x v="0"/>
  </r>
  <r>
    <n v="35"/>
    <x v="33"/>
    <s v="C1346"/>
    <x v="4"/>
    <x v="0"/>
    <n v="4"/>
    <n v="120"/>
    <n v="480"/>
    <n v="50"/>
    <n v="200"/>
    <n v="280"/>
    <x v="4"/>
    <x v="3"/>
    <x v="2"/>
    <n v="29.31"/>
    <n v="36.31"/>
    <n v="19.07"/>
    <n v="31.29"/>
    <n v="1.01"/>
    <n v="4.8"/>
    <n v="6.43"/>
    <n v="2.64"/>
    <n v="149.13999999999999"/>
    <x v="1"/>
    <x v="1"/>
  </r>
  <r>
    <n v="36"/>
    <x v="32"/>
    <s v="C1318"/>
    <x v="6"/>
    <x v="0"/>
    <n v="2"/>
    <n v="180"/>
    <n v="360"/>
    <n v="75"/>
    <n v="150"/>
    <n v="210"/>
    <x v="4"/>
    <x v="3"/>
    <x v="5"/>
    <n v="19.95"/>
    <n v="55.66"/>
    <n v="19.420000000000002"/>
    <n v="8.5"/>
    <n v="0.51"/>
    <n v="4.18"/>
    <n v="6.84"/>
    <n v="2.15"/>
    <n v="92.79"/>
    <x v="2"/>
    <x v="0"/>
  </r>
  <r>
    <n v="37"/>
    <x v="10"/>
    <s v="C1250"/>
    <x v="6"/>
    <x v="0"/>
    <n v="3"/>
    <n v="180"/>
    <n v="540"/>
    <n v="75"/>
    <n v="225"/>
    <n v="315"/>
    <x v="1"/>
    <x v="1"/>
    <x v="5"/>
    <n v="16.399999999999999"/>
    <n v="35.840000000000003"/>
    <n v="11.44"/>
    <n v="17.82"/>
    <n v="1.63"/>
    <n v="4.32"/>
    <n v="5.2"/>
    <n v="2.59"/>
    <n v="219.76"/>
    <x v="1"/>
    <x v="0"/>
  </r>
  <r>
    <n v="38"/>
    <x v="34"/>
    <s v="C1198"/>
    <x v="5"/>
    <x v="0"/>
    <n v="3"/>
    <n v="250"/>
    <n v="750"/>
    <n v="110"/>
    <n v="330"/>
    <n v="420"/>
    <x v="2"/>
    <x v="1"/>
    <x v="4"/>
    <n v="38.29"/>
    <n v="41.14"/>
    <n v="11.39"/>
    <n v="16.96"/>
    <n v="3.52"/>
    <n v="11.18"/>
    <n v="2.6"/>
    <n v="2.38"/>
    <n v="292.54000000000002"/>
    <x v="1"/>
    <x v="0"/>
  </r>
  <r>
    <n v="39"/>
    <x v="35"/>
    <s v="C1340"/>
    <x v="0"/>
    <x v="0"/>
    <n v="4"/>
    <n v="200"/>
    <n v="800"/>
    <n v="90"/>
    <n v="360"/>
    <n v="440"/>
    <x v="4"/>
    <x v="1"/>
    <x v="1"/>
    <n v="12"/>
    <n v="41.85"/>
    <n v="18.66"/>
    <n v="33.729999999999997"/>
    <n v="2.48"/>
    <n v="8.94"/>
    <n v="6.44"/>
    <n v="1.86"/>
    <n v="314.04000000000002"/>
    <x v="0"/>
    <x v="0"/>
  </r>
  <r>
    <n v="40"/>
    <x v="36"/>
    <s v="C1088"/>
    <x v="3"/>
    <x v="2"/>
    <n v="1"/>
    <n v="180"/>
    <n v="180"/>
    <n v="90"/>
    <n v="90"/>
    <n v="90"/>
    <x v="3"/>
    <x v="1"/>
    <x v="1"/>
    <n v="18.55"/>
    <n v="33.69"/>
    <n v="14.07"/>
    <n v="14.72"/>
    <n v="3.31"/>
    <n v="2.4700000000000002"/>
    <n v="7.01"/>
    <n v="1.4"/>
    <n v="-5.22"/>
    <x v="0"/>
    <x v="1"/>
  </r>
  <r>
    <n v="41"/>
    <x v="37"/>
    <s v="C1131"/>
    <x v="4"/>
    <x v="0"/>
    <n v="3"/>
    <n v="120"/>
    <n v="360"/>
    <n v="50"/>
    <n v="150"/>
    <n v="210"/>
    <x v="3"/>
    <x v="0"/>
    <x v="0"/>
    <n v="23.9"/>
    <n v="28.06"/>
    <n v="14.69"/>
    <n v="15.12"/>
    <n v="0.26"/>
    <n v="6.49"/>
    <n v="4"/>
    <n v="1.61"/>
    <n v="115.87"/>
    <x v="0"/>
    <x v="1"/>
  </r>
  <r>
    <n v="42"/>
    <x v="38"/>
    <s v="C1340"/>
    <x v="0"/>
    <x v="0"/>
    <n v="2"/>
    <n v="200"/>
    <n v="400"/>
    <n v="90"/>
    <n v="180"/>
    <n v="220"/>
    <x v="4"/>
    <x v="1"/>
    <x v="1"/>
    <n v="28.49"/>
    <n v="56.21"/>
    <n v="8.36"/>
    <n v="27.75"/>
    <n v="4.97"/>
    <n v="7.38"/>
    <n v="2.15"/>
    <n v="1.93"/>
    <n v="82.76"/>
    <x v="2"/>
    <x v="0"/>
  </r>
  <r>
    <n v="43"/>
    <x v="20"/>
    <s v="C1134"/>
    <x v="3"/>
    <x v="2"/>
    <n v="2"/>
    <n v="180"/>
    <n v="360"/>
    <n v="90"/>
    <n v="180"/>
    <n v="180"/>
    <x v="1"/>
    <x v="0"/>
    <x v="0"/>
    <n v="28.48"/>
    <n v="47.75"/>
    <n v="13.66"/>
    <n v="16.75"/>
    <n v="1.1000000000000001"/>
    <n v="11.99"/>
    <n v="4.6500000000000004"/>
    <n v="0.96"/>
    <n v="54.66"/>
    <x v="2"/>
    <x v="0"/>
  </r>
  <r>
    <n v="44"/>
    <x v="39"/>
    <s v="C1217"/>
    <x v="6"/>
    <x v="0"/>
    <n v="2"/>
    <n v="180"/>
    <n v="360"/>
    <n v="75"/>
    <n v="150"/>
    <n v="210"/>
    <x v="3"/>
    <x v="4"/>
    <x v="5"/>
    <n v="12.7"/>
    <n v="27.75"/>
    <n v="15.61"/>
    <n v="10.26"/>
    <n v="2.42"/>
    <n v="7.39"/>
    <n v="7.8"/>
    <n v="2.7"/>
    <n v="123.37"/>
    <x v="2"/>
    <x v="1"/>
  </r>
  <r>
    <n v="45"/>
    <x v="40"/>
    <s v="C1100"/>
    <x v="1"/>
    <x v="0"/>
    <n v="2"/>
    <n v="220"/>
    <n v="440"/>
    <n v="100"/>
    <n v="200"/>
    <n v="240"/>
    <x v="1"/>
    <x v="3"/>
    <x v="2"/>
    <n v="39.93"/>
    <n v="16.48"/>
    <n v="15.09"/>
    <n v="4.2300000000000004"/>
    <n v="1.86"/>
    <n v="9.32"/>
    <n v="7.81"/>
    <n v="1.35"/>
    <n v="143.93"/>
    <x v="0"/>
    <x v="0"/>
  </r>
  <r>
    <n v="46"/>
    <x v="41"/>
    <s v="C1228"/>
    <x v="5"/>
    <x v="0"/>
    <n v="1"/>
    <n v="250"/>
    <n v="250"/>
    <n v="110"/>
    <n v="110"/>
    <n v="140"/>
    <x v="0"/>
    <x v="4"/>
    <x v="0"/>
    <n v="38.08"/>
    <n v="36.04"/>
    <n v="10.84"/>
    <n v="11.92"/>
    <n v="0.45"/>
    <n v="13.8"/>
    <n v="6.06"/>
    <n v="1.3"/>
    <n v="21.51"/>
    <x v="1"/>
    <x v="0"/>
  </r>
  <r>
    <n v="47"/>
    <x v="1"/>
    <s v="C1077"/>
    <x v="4"/>
    <x v="0"/>
    <n v="1"/>
    <n v="120"/>
    <n v="120"/>
    <n v="50"/>
    <n v="50"/>
    <n v="70"/>
    <x v="3"/>
    <x v="3"/>
    <x v="4"/>
    <n v="22.58"/>
    <n v="46.72"/>
    <n v="14.73"/>
    <n v="7.17"/>
    <n v="2.62"/>
    <n v="11.62"/>
    <n v="4.25"/>
    <n v="1.61"/>
    <n v="-41.3"/>
    <x v="1"/>
    <x v="0"/>
  </r>
  <r>
    <n v="48"/>
    <x v="42"/>
    <s v="C1300"/>
    <x v="6"/>
    <x v="0"/>
    <n v="4"/>
    <n v="180"/>
    <n v="720"/>
    <n v="75"/>
    <n v="300"/>
    <n v="420"/>
    <x v="4"/>
    <x v="3"/>
    <x v="3"/>
    <n v="22.1"/>
    <n v="34.75"/>
    <n v="11.07"/>
    <n v="27.05"/>
    <n v="2.92"/>
    <n v="14.1"/>
    <n v="3.23"/>
    <n v="0.09"/>
    <n v="304.69"/>
    <x v="2"/>
    <x v="0"/>
  </r>
  <r>
    <n v="49"/>
    <x v="43"/>
    <s v="C1087"/>
    <x v="7"/>
    <x v="2"/>
    <n v="4"/>
    <n v="150"/>
    <n v="600"/>
    <n v="70"/>
    <n v="280"/>
    <n v="320"/>
    <x v="4"/>
    <x v="0"/>
    <x v="4"/>
    <n v="29.58"/>
    <n v="28.12"/>
    <n v="16.8"/>
    <n v="27.97"/>
    <n v="0.28000000000000003"/>
    <n v="12.33"/>
    <n v="6.9"/>
    <n v="2.82"/>
    <n v="195.2"/>
    <x v="2"/>
    <x v="0"/>
  </r>
  <r>
    <n v="50"/>
    <x v="44"/>
    <s v="C1057"/>
    <x v="4"/>
    <x v="0"/>
    <n v="2"/>
    <n v="120"/>
    <n v="240"/>
    <n v="50"/>
    <n v="100"/>
    <n v="140"/>
    <x v="1"/>
    <x v="2"/>
    <x v="2"/>
    <n v="11.2"/>
    <n v="35.65"/>
    <n v="18.87"/>
    <n v="1.53"/>
    <n v="4.4000000000000004"/>
    <n v="6.32"/>
    <n v="6.04"/>
    <n v="0.99"/>
    <n v="55"/>
    <x v="2"/>
    <x v="1"/>
  </r>
  <r>
    <n v="51"/>
    <x v="45"/>
    <s v="C1295"/>
    <x v="4"/>
    <x v="0"/>
    <n v="2"/>
    <n v="120"/>
    <n v="240"/>
    <n v="50"/>
    <n v="100"/>
    <n v="140"/>
    <x v="1"/>
    <x v="4"/>
    <x v="3"/>
    <n v="20.21"/>
    <n v="42.82"/>
    <n v="10.36"/>
    <n v="3.65"/>
    <n v="1.6"/>
    <n v="6.73"/>
    <n v="2.27"/>
    <n v="0.21"/>
    <n v="52.15"/>
    <x v="1"/>
    <x v="1"/>
  </r>
  <r>
    <n v="52"/>
    <x v="46"/>
    <s v="C1106"/>
    <x v="7"/>
    <x v="2"/>
    <n v="1"/>
    <n v="150"/>
    <n v="150"/>
    <n v="70"/>
    <n v="70"/>
    <n v="80"/>
    <x v="3"/>
    <x v="3"/>
    <x v="5"/>
    <n v="22.76"/>
    <n v="51.86"/>
    <n v="7.56"/>
    <n v="30.86"/>
    <n v="2.21"/>
    <n v="11.53"/>
    <n v="7.67"/>
    <n v="1.26"/>
    <n v="-55.71"/>
    <x v="2"/>
    <x v="0"/>
  </r>
  <r>
    <n v="53"/>
    <x v="38"/>
    <s v="C1053"/>
    <x v="5"/>
    <x v="0"/>
    <n v="3"/>
    <n v="250"/>
    <n v="750"/>
    <n v="110"/>
    <n v="330"/>
    <n v="420"/>
    <x v="0"/>
    <x v="2"/>
    <x v="0"/>
    <n v="23.69"/>
    <n v="53.41"/>
    <n v="10.74"/>
    <n v="18.48"/>
    <n v="4.8099999999999996"/>
    <n v="10.23"/>
    <n v="5.66"/>
    <n v="2.81"/>
    <n v="290.17"/>
    <x v="2"/>
    <x v="1"/>
  </r>
  <r>
    <n v="54"/>
    <x v="47"/>
    <s v="C1249"/>
    <x v="6"/>
    <x v="0"/>
    <n v="1"/>
    <n v="180"/>
    <n v="180"/>
    <n v="75"/>
    <n v="75"/>
    <n v="105"/>
    <x v="3"/>
    <x v="0"/>
    <x v="4"/>
    <n v="31.19"/>
    <n v="24.11"/>
    <n v="7.25"/>
    <n v="18.72"/>
    <n v="4.5"/>
    <n v="2.02"/>
    <n v="3.08"/>
    <n v="1.91"/>
    <n v="12.22"/>
    <x v="2"/>
    <x v="0"/>
  </r>
  <r>
    <n v="55"/>
    <x v="48"/>
    <s v="C1194"/>
    <x v="5"/>
    <x v="0"/>
    <n v="2"/>
    <n v="250"/>
    <n v="500"/>
    <n v="110"/>
    <n v="220"/>
    <n v="280"/>
    <x v="1"/>
    <x v="4"/>
    <x v="0"/>
    <n v="25.96"/>
    <n v="40.39"/>
    <n v="10.82"/>
    <n v="28.01"/>
    <n v="1.19"/>
    <n v="5.2"/>
    <n v="1.58"/>
    <n v="2.59"/>
    <n v="164.26"/>
    <x v="1"/>
    <x v="0"/>
  </r>
  <r>
    <n v="56"/>
    <x v="49"/>
    <s v="C1075"/>
    <x v="0"/>
    <x v="0"/>
    <n v="4"/>
    <n v="200"/>
    <n v="800"/>
    <n v="90"/>
    <n v="360"/>
    <n v="440"/>
    <x v="3"/>
    <x v="0"/>
    <x v="0"/>
    <n v="27.74"/>
    <n v="22.42"/>
    <n v="13.76"/>
    <n v="23.44"/>
    <n v="1.78"/>
    <n v="5.44"/>
    <n v="1.36"/>
    <n v="1.1200000000000001"/>
    <n v="342.94"/>
    <x v="2"/>
    <x v="0"/>
  </r>
  <r>
    <n v="57"/>
    <x v="50"/>
    <s v="C1118"/>
    <x v="6"/>
    <x v="0"/>
    <n v="2"/>
    <n v="180"/>
    <n v="360"/>
    <n v="75"/>
    <n v="150"/>
    <n v="210"/>
    <x v="1"/>
    <x v="2"/>
    <x v="0"/>
    <n v="10.84"/>
    <n v="17.5"/>
    <n v="19.46"/>
    <n v="12.41"/>
    <n v="4.59"/>
    <n v="4.7300000000000004"/>
    <n v="3.6"/>
    <n v="0.25"/>
    <n v="136.62"/>
    <x v="0"/>
    <x v="0"/>
  </r>
  <r>
    <n v="58"/>
    <x v="51"/>
    <s v="C1262"/>
    <x v="2"/>
    <x v="1"/>
    <n v="1"/>
    <n v="80"/>
    <n v="80"/>
    <n v="30"/>
    <n v="30"/>
    <n v="50"/>
    <x v="4"/>
    <x v="0"/>
    <x v="1"/>
    <n v="10.17"/>
    <n v="42.46"/>
    <n v="15.11"/>
    <n v="1.5"/>
    <n v="2.82"/>
    <n v="8.56"/>
    <n v="1.46"/>
    <n v="0.4"/>
    <n v="-32.479999999999997"/>
    <x v="1"/>
    <x v="1"/>
  </r>
  <r>
    <n v="59"/>
    <x v="52"/>
    <s v="C1330"/>
    <x v="3"/>
    <x v="2"/>
    <n v="1"/>
    <n v="180"/>
    <n v="180"/>
    <n v="90"/>
    <n v="90"/>
    <n v="90"/>
    <x v="1"/>
    <x v="1"/>
    <x v="4"/>
    <n v="15.02"/>
    <n v="53.65"/>
    <n v="11.69"/>
    <n v="20.78"/>
    <n v="4.9000000000000004"/>
    <n v="13.53"/>
    <n v="5.73"/>
    <n v="1.18"/>
    <n v="-36.479999999999997"/>
    <x v="1"/>
    <x v="1"/>
  </r>
  <r>
    <n v="60"/>
    <x v="33"/>
    <s v="C1286"/>
    <x v="1"/>
    <x v="0"/>
    <n v="4"/>
    <n v="220"/>
    <n v="880"/>
    <n v="100"/>
    <n v="400"/>
    <n v="480"/>
    <x v="4"/>
    <x v="1"/>
    <x v="3"/>
    <n v="17.46"/>
    <n v="44.78"/>
    <n v="6.39"/>
    <n v="16.68"/>
    <n v="4.01"/>
    <n v="4.55"/>
    <n v="3.47"/>
    <n v="0.24"/>
    <n v="382.42"/>
    <x v="2"/>
    <x v="0"/>
  </r>
  <r>
    <n v="61"/>
    <x v="13"/>
    <s v="C1004"/>
    <x v="3"/>
    <x v="2"/>
    <n v="3"/>
    <n v="180"/>
    <n v="540"/>
    <n v="90"/>
    <n v="270"/>
    <n v="270"/>
    <x v="2"/>
    <x v="0"/>
    <x v="0"/>
    <n v="30.59"/>
    <n v="46.25"/>
    <n v="10.29"/>
    <n v="12.57"/>
    <n v="3.72"/>
    <n v="4.38"/>
    <n v="4.5999999999999996"/>
    <n v="0.78"/>
    <n v="156.82"/>
    <x v="0"/>
    <x v="0"/>
  </r>
  <r>
    <n v="62"/>
    <x v="44"/>
    <s v="C1056"/>
    <x v="6"/>
    <x v="0"/>
    <n v="4"/>
    <n v="180"/>
    <n v="720"/>
    <n v="75"/>
    <n v="300"/>
    <n v="420"/>
    <x v="4"/>
    <x v="0"/>
    <x v="2"/>
    <n v="33.81"/>
    <n v="18.010000000000002"/>
    <n v="16.190000000000001"/>
    <n v="28.94"/>
    <n v="1.1499999999999999"/>
    <n v="13.64"/>
    <n v="7.25"/>
    <n v="0.4"/>
    <n v="300.61"/>
    <x v="0"/>
    <x v="1"/>
  </r>
  <r>
    <n v="63"/>
    <x v="53"/>
    <s v="C1280"/>
    <x v="3"/>
    <x v="2"/>
    <n v="3"/>
    <n v="180"/>
    <n v="540"/>
    <n v="90"/>
    <n v="270"/>
    <n v="270"/>
    <x v="2"/>
    <x v="1"/>
    <x v="4"/>
    <n v="26.33"/>
    <n v="57.86"/>
    <n v="14.3"/>
    <n v="18.739999999999998"/>
    <n v="1.99"/>
    <n v="5.84"/>
    <n v="3"/>
    <n v="2.67"/>
    <n v="139.27000000000001"/>
    <x v="2"/>
    <x v="1"/>
  </r>
  <r>
    <n v="64"/>
    <x v="54"/>
    <s v="C1139"/>
    <x v="0"/>
    <x v="0"/>
    <n v="1"/>
    <n v="200"/>
    <n v="200"/>
    <n v="90"/>
    <n v="90"/>
    <n v="110"/>
    <x v="3"/>
    <x v="1"/>
    <x v="4"/>
    <n v="33.81"/>
    <n v="52.8"/>
    <n v="18.920000000000002"/>
    <n v="13.19"/>
    <n v="1.78"/>
    <n v="6.81"/>
    <n v="6.79"/>
    <n v="0.06"/>
    <n v="-24.16"/>
    <x v="1"/>
    <x v="1"/>
  </r>
  <r>
    <n v="65"/>
    <x v="55"/>
    <s v="C1270"/>
    <x v="2"/>
    <x v="1"/>
    <n v="4"/>
    <n v="80"/>
    <n v="320"/>
    <n v="30"/>
    <n v="120"/>
    <n v="200"/>
    <x v="1"/>
    <x v="4"/>
    <x v="4"/>
    <n v="30.24"/>
    <n v="33.299999999999997"/>
    <n v="7.87"/>
    <n v="2.78"/>
    <n v="1.07"/>
    <n v="14.98"/>
    <n v="1.45"/>
    <n v="1.92"/>
    <n v="106.39"/>
    <x v="0"/>
    <x v="1"/>
  </r>
  <r>
    <n v="66"/>
    <x v="56"/>
    <s v="C1208"/>
    <x v="0"/>
    <x v="0"/>
    <n v="2"/>
    <n v="200"/>
    <n v="400"/>
    <n v="90"/>
    <n v="180"/>
    <n v="220"/>
    <x v="0"/>
    <x v="3"/>
    <x v="5"/>
    <n v="11.58"/>
    <n v="33.409999999999997"/>
    <n v="9.44"/>
    <n v="23.09"/>
    <n v="3.16"/>
    <n v="14.84"/>
    <n v="6.87"/>
    <n v="1.4"/>
    <n v="116.21"/>
    <x v="0"/>
    <x v="1"/>
  </r>
  <r>
    <n v="67"/>
    <x v="57"/>
    <s v="C1272"/>
    <x v="4"/>
    <x v="0"/>
    <n v="3"/>
    <n v="120"/>
    <n v="360"/>
    <n v="50"/>
    <n v="150"/>
    <n v="210"/>
    <x v="0"/>
    <x v="1"/>
    <x v="0"/>
    <n v="38.520000000000003"/>
    <n v="16.600000000000001"/>
    <n v="14.82"/>
    <n v="12.54"/>
    <n v="0.48"/>
    <n v="12.83"/>
    <n v="1.43"/>
    <n v="0.79"/>
    <n v="111.99"/>
    <x v="2"/>
    <x v="0"/>
  </r>
  <r>
    <n v="68"/>
    <x v="37"/>
    <s v="C1013"/>
    <x v="2"/>
    <x v="1"/>
    <n v="1"/>
    <n v="80"/>
    <n v="80"/>
    <n v="30"/>
    <n v="30"/>
    <n v="50"/>
    <x v="0"/>
    <x v="1"/>
    <x v="3"/>
    <n v="29.33"/>
    <n v="34.76"/>
    <n v="15.91"/>
    <n v="3.44"/>
    <n v="3.09"/>
    <n v="11.76"/>
    <n v="5.71"/>
    <n v="1.32"/>
    <n v="-55.32"/>
    <x v="1"/>
    <x v="0"/>
  </r>
  <r>
    <n v="69"/>
    <x v="58"/>
    <s v="C1163"/>
    <x v="6"/>
    <x v="0"/>
    <n v="2"/>
    <n v="180"/>
    <n v="360"/>
    <n v="75"/>
    <n v="150"/>
    <n v="210"/>
    <x v="2"/>
    <x v="0"/>
    <x v="0"/>
    <n v="15.87"/>
    <n v="47.51"/>
    <n v="7.84"/>
    <n v="29.73"/>
    <n v="4.9000000000000004"/>
    <n v="7.68"/>
    <n v="3.19"/>
    <n v="1.67"/>
    <n v="91.61"/>
    <x v="1"/>
    <x v="1"/>
  </r>
  <r>
    <n v="70"/>
    <x v="14"/>
    <s v="C1260"/>
    <x v="2"/>
    <x v="1"/>
    <n v="3"/>
    <n v="80"/>
    <n v="240"/>
    <n v="30"/>
    <n v="90"/>
    <n v="150"/>
    <x v="0"/>
    <x v="2"/>
    <x v="1"/>
    <n v="28.83"/>
    <n v="46.54"/>
    <n v="19.489999999999998"/>
    <n v="13.91"/>
    <n v="4.76"/>
    <n v="13.8"/>
    <n v="6.25"/>
    <n v="2.42"/>
    <n v="14"/>
    <x v="2"/>
    <x v="0"/>
  </r>
  <r>
    <n v="71"/>
    <x v="59"/>
    <s v="C1055"/>
    <x v="3"/>
    <x v="2"/>
    <n v="1"/>
    <n v="180"/>
    <n v="180"/>
    <n v="90"/>
    <n v="90"/>
    <n v="90"/>
    <x v="2"/>
    <x v="3"/>
    <x v="5"/>
    <n v="16.61"/>
    <n v="28.64"/>
    <n v="19.989999999999998"/>
    <n v="20.43"/>
    <n v="0.48"/>
    <n v="4.96"/>
    <n v="4.2300000000000004"/>
    <n v="0.31"/>
    <n v="-5.65"/>
    <x v="2"/>
    <x v="0"/>
  </r>
  <r>
    <n v="72"/>
    <x v="60"/>
    <s v="C1245"/>
    <x v="1"/>
    <x v="0"/>
    <n v="4"/>
    <n v="220"/>
    <n v="880"/>
    <n v="100"/>
    <n v="400"/>
    <n v="480"/>
    <x v="3"/>
    <x v="1"/>
    <x v="5"/>
    <n v="11.37"/>
    <n v="33.17"/>
    <n v="8.35"/>
    <n v="0.51"/>
    <n v="4.93"/>
    <n v="13.32"/>
    <n v="4.47"/>
    <n v="2.15"/>
    <n v="401.73"/>
    <x v="2"/>
    <x v="1"/>
  </r>
  <r>
    <n v="73"/>
    <x v="39"/>
    <s v="C1252"/>
    <x v="6"/>
    <x v="0"/>
    <n v="2"/>
    <n v="180"/>
    <n v="360"/>
    <n v="75"/>
    <n v="150"/>
    <n v="210"/>
    <x v="3"/>
    <x v="1"/>
    <x v="0"/>
    <n v="20.309999999999999"/>
    <n v="28"/>
    <n v="11.39"/>
    <n v="34.78"/>
    <n v="0.89"/>
    <n v="8.69"/>
    <n v="1.04"/>
    <n v="2.65"/>
    <n v="102.25"/>
    <x v="2"/>
    <x v="1"/>
  </r>
  <r>
    <n v="74"/>
    <x v="51"/>
    <s v="C1254"/>
    <x v="3"/>
    <x v="2"/>
    <n v="2"/>
    <n v="180"/>
    <n v="360"/>
    <n v="90"/>
    <n v="180"/>
    <n v="180"/>
    <x v="0"/>
    <x v="2"/>
    <x v="2"/>
    <n v="29.7"/>
    <n v="42.98"/>
    <n v="14.27"/>
    <n v="8.1199999999999992"/>
    <n v="0.85"/>
    <n v="7.25"/>
    <n v="6.93"/>
    <n v="2.6"/>
    <n v="67.3"/>
    <x v="2"/>
    <x v="1"/>
  </r>
  <r>
    <n v="75"/>
    <x v="43"/>
    <s v="C1344"/>
    <x v="6"/>
    <x v="0"/>
    <n v="3"/>
    <n v="180"/>
    <n v="540"/>
    <n v="75"/>
    <n v="225"/>
    <n v="315"/>
    <x v="0"/>
    <x v="2"/>
    <x v="5"/>
    <n v="21.7"/>
    <n v="19.14"/>
    <n v="15.84"/>
    <n v="4.3499999999999996"/>
    <n v="1.59"/>
    <n v="3.42"/>
    <n v="4.76"/>
    <n v="0.09"/>
    <n v="244.11"/>
    <x v="2"/>
    <x v="0"/>
  </r>
  <r>
    <n v="76"/>
    <x v="38"/>
    <s v="C1263"/>
    <x v="6"/>
    <x v="0"/>
    <n v="4"/>
    <n v="180"/>
    <n v="720"/>
    <n v="75"/>
    <n v="300"/>
    <n v="420"/>
    <x v="0"/>
    <x v="4"/>
    <x v="0"/>
    <n v="15.73"/>
    <n v="49.73"/>
    <n v="10.199999999999999"/>
    <n v="30.99"/>
    <n v="3.47"/>
    <n v="3.31"/>
    <n v="3.8"/>
    <n v="1.38"/>
    <n v="301.39"/>
    <x v="0"/>
    <x v="1"/>
  </r>
  <r>
    <n v="77"/>
    <x v="61"/>
    <s v="C1047"/>
    <x v="5"/>
    <x v="0"/>
    <n v="1"/>
    <n v="250"/>
    <n v="250"/>
    <n v="110"/>
    <n v="110"/>
    <n v="140"/>
    <x v="1"/>
    <x v="4"/>
    <x v="4"/>
    <n v="30.95"/>
    <n v="26.04"/>
    <n v="5.41"/>
    <n v="29.52"/>
    <n v="4.1900000000000004"/>
    <n v="10.64"/>
    <n v="2.04"/>
    <n v="0.9"/>
    <n v="30.31"/>
    <x v="2"/>
    <x v="0"/>
  </r>
  <r>
    <n v="78"/>
    <x v="34"/>
    <s v="C1273"/>
    <x v="4"/>
    <x v="0"/>
    <n v="2"/>
    <n v="120"/>
    <n v="240"/>
    <n v="50"/>
    <n v="100"/>
    <n v="140"/>
    <x v="4"/>
    <x v="4"/>
    <x v="5"/>
    <n v="34.42"/>
    <n v="30.78"/>
    <n v="14.39"/>
    <n v="34.159999999999997"/>
    <n v="3.15"/>
    <n v="13.4"/>
    <n v="5.03"/>
    <n v="2.91"/>
    <n v="1.76"/>
    <x v="0"/>
    <x v="1"/>
  </r>
  <r>
    <n v="79"/>
    <x v="62"/>
    <s v="C1324"/>
    <x v="6"/>
    <x v="0"/>
    <n v="3"/>
    <n v="180"/>
    <n v="540"/>
    <n v="75"/>
    <n v="225"/>
    <n v="315"/>
    <x v="0"/>
    <x v="4"/>
    <x v="4"/>
    <n v="37.24"/>
    <n v="56.67"/>
    <n v="7.47"/>
    <n v="27.67"/>
    <n v="1.01"/>
    <n v="6.46"/>
    <n v="7.55"/>
    <n v="2.29"/>
    <n v="168.64"/>
    <x v="0"/>
    <x v="0"/>
  </r>
  <r>
    <n v="80"/>
    <x v="63"/>
    <s v="C1057"/>
    <x v="2"/>
    <x v="1"/>
    <n v="4"/>
    <n v="80"/>
    <n v="320"/>
    <n v="30"/>
    <n v="120"/>
    <n v="200"/>
    <x v="1"/>
    <x v="0"/>
    <x v="5"/>
    <n v="24.16"/>
    <n v="42.55"/>
    <n v="19.95"/>
    <n v="1.53"/>
    <n v="0.91"/>
    <n v="13.48"/>
    <n v="1.1399999999999999"/>
    <n v="2.85"/>
    <n v="93.43"/>
    <x v="0"/>
    <x v="0"/>
  </r>
  <r>
    <n v="81"/>
    <x v="20"/>
    <s v="C1080"/>
    <x v="6"/>
    <x v="0"/>
    <n v="2"/>
    <n v="180"/>
    <n v="360"/>
    <n v="75"/>
    <n v="150"/>
    <n v="210"/>
    <x v="4"/>
    <x v="0"/>
    <x v="3"/>
    <n v="24.27"/>
    <n v="45.9"/>
    <n v="18.63"/>
    <n v="11.23"/>
    <n v="3.33"/>
    <n v="13.6"/>
    <n v="7.63"/>
    <n v="2.34"/>
    <n v="83.07"/>
    <x v="2"/>
    <x v="0"/>
  </r>
  <r>
    <n v="82"/>
    <x v="52"/>
    <s v="C1031"/>
    <x v="0"/>
    <x v="0"/>
    <n v="4"/>
    <n v="200"/>
    <n v="800"/>
    <n v="90"/>
    <n v="360"/>
    <n v="440"/>
    <x v="0"/>
    <x v="2"/>
    <x v="2"/>
    <n v="20.18"/>
    <n v="43.15"/>
    <n v="15.74"/>
    <n v="16.25"/>
    <n v="2.72"/>
    <n v="5.97"/>
    <n v="3.1"/>
    <n v="1.6"/>
    <n v="331.29"/>
    <x v="0"/>
    <x v="1"/>
  </r>
  <r>
    <n v="83"/>
    <x v="64"/>
    <s v="C1128"/>
    <x v="1"/>
    <x v="0"/>
    <n v="2"/>
    <n v="220"/>
    <n v="440"/>
    <n v="100"/>
    <n v="200"/>
    <n v="240"/>
    <x v="4"/>
    <x v="4"/>
    <x v="0"/>
    <n v="27.87"/>
    <n v="51.65"/>
    <n v="5.16"/>
    <n v="27.14"/>
    <n v="2.02"/>
    <n v="13.41"/>
    <n v="5.2"/>
    <n v="1.93"/>
    <n v="105.62"/>
    <x v="2"/>
    <x v="0"/>
  </r>
  <r>
    <n v="84"/>
    <x v="53"/>
    <s v="C1069"/>
    <x v="5"/>
    <x v="0"/>
    <n v="2"/>
    <n v="250"/>
    <n v="500"/>
    <n v="110"/>
    <n v="220"/>
    <n v="280"/>
    <x v="4"/>
    <x v="4"/>
    <x v="0"/>
    <n v="36.729999999999997"/>
    <n v="26.97"/>
    <n v="7.58"/>
    <n v="14.61"/>
    <n v="3.76"/>
    <n v="2.12"/>
    <n v="3.1"/>
    <n v="2.54"/>
    <n v="182.59"/>
    <x v="0"/>
    <x v="0"/>
  </r>
  <r>
    <n v="85"/>
    <x v="65"/>
    <s v="C1018"/>
    <x v="5"/>
    <x v="0"/>
    <n v="1"/>
    <n v="250"/>
    <n v="250"/>
    <n v="110"/>
    <n v="110"/>
    <n v="140"/>
    <x v="4"/>
    <x v="0"/>
    <x v="0"/>
    <n v="20.58"/>
    <n v="48.1"/>
    <n v="7.92"/>
    <n v="27.95"/>
    <n v="1.43"/>
    <n v="8.2899999999999991"/>
    <n v="5.23"/>
    <n v="2.2000000000000002"/>
    <n v="18.3"/>
    <x v="0"/>
    <x v="1"/>
  </r>
  <r>
    <n v="86"/>
    <x v="66"/>
    <s v="C1058"/>
    <x v="6"/>
    <x v="0"/>
    <n v="2"/>
    <n v="180"/>
    <n v="360"/>
    <n v="75"/>
    <n v="150"/>
    <n v="210"/>
    <x v="2"/>
    <x v="4"/>
    <x v="5"/>
    <n v="37.65"/>
    <n v="33.31"/>
    <n v="8.16"/>
    <n v="14.98"/>
    <n v="3.09"/>
    <n v="5.5"/>
    <n v="5.44"/>
    <n v="2.74"/>
    <n v="99.13"/>
    <x v="0"/>
    <x v="1"/>
  </r>
  <r>
    <n v="87"/>
    <x v="67"/>
    <s v="C1227"/>
    <x v="6"/>
    <x v="0"/>
    <n v="2"/>
    <n v="180"/>
    <n v="360"/>
    <n v="75"/>
    <n v="150"/>
    <n v="210"/>
    <x v="2"/>
    <x v="2"/>
    <x v="3"/>
    <n v="20.07"/>
    <n v="32.119999999999997"/>
    <n v="12.2"/>
    <n v="18.45"/>
    <n v="1.23"/>
    <n v="3.64"/>
    <n v="5.57"/>
    <n v="0.41"/>
    <n v="116.31"/>
    <x v="0"/>
    <x v="1"/>
  </r>
  <r>
    <n v="88"/>
    <x v="68"/>
    <s v="C1095"/>
    <x v="2"/>
    <x v="1"/>
    <n v="1"/>
    <n v="80"/>
    <n v="80"/>
    <n v="30"/>
    <n v="30"/>
    <n v="50"/>
    <x v="0"/>
    <x v="4"/>
    <x v="5"/>
    <n v="10.050000000000001"/>
    <n v="29.51"/>
    <n v="15.93"/>
    <n v="31.87"/>
    <n v="2.02"/>
    <n v="7.38"/>
    <n v="5.28"/>
    <n v="0.41"/>
    <n v="-52.45"/>
    <x v="0"/>
    <x v="1"/>
  </r>
  <r>
    <n v="89"/>
    <x v="23"/>
    <s v="C1077"/>
    <x v="7"/>
    <x v="2"/>
    <n v="4"/>
    <n v="150"/>
    <n v="600"/>
    <n v="70"/>
    <n v="280"/>
    <n v="320"/>
    <x v="2"/>
    <x v="0"/>
    <x v="3"/>
    <n v="26.77"/>
    <n v="42.62"/>
    <n v="13.53"/>
    <n v="11.11"/>
    <n v="3.62"/>
    <n v="6.36"/>
    <n v="7.93"/>
    <n v="1.52"/>
    <n v="206.54"/>
    <x v="1"/>
    <x v="0"/>
  </r>
  <r>
    <n v="90"/>
    <x v="69"/>
    <s v="C1073"/>
    <x v="2"/>
    <x v="1"/>
    <n v="2"/>
    <n v="80"/>
    <n v="160"/>
    <n v="30"/>
    <n v="60"/>
    <n v="100"/>
    <x v="0"/>
    <x v="2"/>
    <x v="3"/>
    <n v="35.979999999999997"/>
    <n v="34.11"/>
    <n v="17.46"/>
    <n v="34.89"/>
    <n v="1.8"/>
    <n v="8.59"/>
    <n v="1.64"/>
    <n v="2.92"/>
    <n v="-37.39"/>
    <x v="1"/>
    <x v="0"/>
  </r>
  <r>
    <n v="91"/>
    <x v="70"/>
    <s v="C1129"/>
    <x v="4"/>
    <x v="0"/>
    <n v="3"/>
    <n v="120"/>
    <n v="360"/>
    <n v="50"/>
    <n v="150"/>
    <n v="210"/>
    <x v="2"/>
    <x v="4"/>
    <x v="4"/>
    <n v="11.97"/>
    <n v="41.47"/>
    <n v="14.38"/>
    <n v="6.32"/>
    <n v="4.67"/>
    <n v="9.2799999999999994"/>
    <n v="2.78"/>
    <n v="2.48"/>
    <n v="116.65"/>
    <x v="1"/>
    <x v="1"/>
  </r>
  <r>
    <n v="92"/>
    <x v="71"/>
    <s v="C1268"/>
    <x v="7"/>
    <x v="2"/>
    <n v="2"/>
    <n v="150"/>
    <n v="300"/>
    <n v="70"/>
    <n v="140"/>
    <n v="160"/>
    <x v="4"/>
    <x v="0"/>
    <x v="0"/>
    <n v="11.72"/>
    <n v="19.559999999999999"/>
    <n v="16.34"/>
    <n v="1.25"/>
    <n v="2.36"/>
    <n v="6.24"/>
    <n v="1.82"/>
    <n v="2.72"/>
    <n v="97.99"/>
    <x v="1"/>
    <x v="0"/>
  </r>
  <r>
    <n v="93"/>
    <x v="72"/>
    <s v="C1252"/>
    <x v="0"/>
    <x v="0"/>
    <n v="1"/>
    <n v="200"/>
    <n v="200"/>
    <n v="90"/>
    <n v="90"/>
    <n v="110"/>
    <x v="0"/>
    <x v="3"/>
    <x v="2"/>
    <n v="10.95"/>
    <n v="25.08"/>
    <n v="5.62"/>
    <n v="16.66"/>
    <n v="1.35"/>
    <n v="7.85"/>
    <n v="1.65"/>
    <n v="2.95"/>
    <n v="37.89"/>
    <x v="0"/>
    <x v="0"/>
  </r>
  <r>
    <n v="94"/>
    <x v="53"/>
    <s v="C1246"/>
    <x v="3"/>
    <x v="2"/>
    <n v="3"/>
    <n v="180"/>
    <n v="540"/>
    <n v="90"/>
    <n v="270"/>
    <n v="270"/>
    <x v="3"/>
    <x v="2"/>
    <x v="5"/>
    <n v="28.1"/>
    <n v="43.76"/>
    <n v="5.99"/>
    <n v="12.54"/>
    <n v="2.77"/>
    <n v="4.88"/>
    <n v="4.32"/>
    <n v="0.78"/>
    <n v="166.86"/>
    <x v="1"/>
    <x v="0"/>
  </r>
  <r>
    <n v="95"/>
    <x v="2"/>
    <s v="C1271"/>
    <x v="2"/>
    <x v="1"/>
    <n v="2"/>
    <n v="80"/>
    <n v="160"/>
    <n v="30"/>
    <n v="60"/>
    <n v="100"/>
    <x v="4"/>
    <x v="4"/>
    <x v="3"/>
    <n v="14.26"/>
    <n v="28.91"/>
    <n v="14.41"/>
    <n v="7.53"/>
    <n v="1.6"/>
    <n v="8.11"/>
    <n v="2.38"/>
    <n v="0.5"/>
    <n v="22.3"/>
    <x v="0"/>
    <x v="0"/>
  </r>
  <r>
    <n v="96"/>
    <x v="73"/>
    <s v="C1344"/>
    <x v="6"/>
    <x v="0"/>
    <n v="3"/>
    <n v="180"/>
    <n v="540"/>
    <n v="75"/>
    <n v="225"/>
    <n v="315"/>
    <x v="1"/>
    <x v="4"/>
    <x v="1"/>
    <n v="28.79"/>
    <n v="23.33"/>
    <n v="18.27"/>
    <n v="21.79"/>
    <n v="2.8"/>
    <n v="9.44"/>
    <n v="7.12"/>
    <n v="1.1299999999999999"/>
    <n v="202.33"/>
    <x v="0"/>
    <x v="1"/>
  </r>
  <r>
    <n v="97"/>
    <x v="74"/>
    <s v="C1217"/>
    <x v="3"/>
    <x v="2"/>
    <n v="1"/>
    <n v="180"/>
    <n v="180"/>
    <n v="90"/>
    <n v="90"/>
    <n v="90"/>
    <x v="4"/>
    <x v="2"/>
    <x v="3"/>
    <n v="11.58"/>
    <n v="43.29"/>
    <n v="5.84"/>
    <n v="25.58"/>
    <n v="3.68"/>
    <n v="6.01"/>
    <n v="3.93"/>
    <n v="0.34"/>
    <n v="-10.25"/>
    <x v="0"/>
    <x v="0"/>
  </r>
  <r>
    <n v="98"/>
    <x v="75"/>
    <s v="C1040"/>
    <x v="4"/>
    <x v="0"/>
    <n v="4"/>
    <n v="120"/>
    <n v="480"/>
    <n v="50"/>
    <n v="200"/>
    <n v="280"/>
    <x v="2"/>
    <x v="1"/>
    <x v="4"/>
    <n v="14.58"/>
    <n v="49.64"/>
    <n v="6.27"/>
    <n v="12.73"/>
    <n v="0.44"/>
    <n v="13.02"/>
    <n v="5.96"/>
    <n v="1.0900000000000001"/>
    <n v="176.27"/>
    <x v="0"/>
    <x v="0"/>
  </r>
  <r>
    <n v="99"/>
    <x v="76"/>
    <s v="C1301"/>
    <x v="6"/>
    <x v="0"/>
    <n v="4"/>
    <n v="180"/>
    <n v="720"/>
    <n v="75"/>
    <n v="300"/>
    <n v="420"/>
    <x v="2"/>
    <x v="3"/>
    <x v="0"/>
    <n v="36.229999999999997"/>
    <n v="47.57"/>
    <n v="8.2899999999999991"/>
    <n v="6.5"/>
    <n v="1.66"/>
    <n v="6.28"/>
    <n v="3.02"/>
    <n v="0.64"/>
    <n v="309.81"/>
    <x v="0"/>
    <x v="1"/>
  </r>
  <r>
    <n v="100"/>
    <x v="69"/>
    <s v="C1154"/>
    <x v="5"/>
    <x v="0"/>
    <n v="1"/>
    <n v="250"/>
    <n v="250"/>
    <n v="110"/>
    <n v="110"/>
    <n v="140"/>
    <x v="4"/>
    <x v="2"/>
    <x v="2"/>
    <n v="12.74"/>
    <n v="54.38"/>
    <n v="6.8"/>
    <n v="28.22"/>
    <n v="1.0900000000000001"/>
    <n v="7.46"/>
    <n v="7.55"/>
    <n v="0.53"/>
    <n v="21.23"/>
    <x v="2"/>
    <x v="1"/>
  </r>
  <r>
    <n v="101"/>
    <x v="77"/>
    <s v="C1277"/>
    <x v="6"/>
    <x v="0"/>
    <n v="2"/>
    <n v="180"/>
    <n v="360"/>
    <n v="75"/>
    <n v="150"/>
    <n v="210"/>
    <x v="4"/>
    <x v="2"/>
    <x v="3"/>
    <n v="23.12"/>
    <n v="27.17"/>
    <n v="5.01"/>
    <n v="30.86"/>
    <n v="2.08"/>
    <n v="7.72"/>
    <n v="2.35"/>
    <n v="2.78"/>
    <n v="108.91"/>
    <x v="1"/>
    <x v="0"/>
  </r>
  <r>
    <n v="102"/>
    <x v="78"/>
    <s v="C1302"/>
    <x v="5"/>
    <x v="0"/>
    <n v="1"/>
    <n v="250"/>
    <n v="250"/>
    <n v="110"/>
    <n v="110"/>
    <n v="140"/>
    <x v="4"/>
    <x v="4"/>
    <x v="3"/>
    <n v="28.52"/>
    <n v="51.64"/>
    <n v="15.75"/>
    <n v="17.71"/>
    <n v="0.17"/>
    <n v="3.25"/>
    <n v="2.79"/>
    <n v="0.62"/>
    <n v="19.55"/>
    <x v="2"/>
    <x v="1"/>
  </r>
  <r>
    <n v="103"/>
    <x v="74"/>
    <s v="C1107"/>
    <x v="4"/>
    <x v="0"/>
    <n v="3"/>
    <n v="120"/>
    <n v="360"/>
    <n v="50"/>
    <n v="150"/>
    <n v="210"/>
    <x v="1"/>
    <x v="3"/>
    <x v="5"/>
    <n v="15.13"/>
    <n v="32.36"/>
    <n v="13.04"/>
    <n v="34.200000000000003"/>
    <n v="4.99"/>
    <n v="8.57"/>
    <n v="7.5"/>
    <n v="2.59"/>
    <n v="91.62"/>
    <x v="2"/>
    <x v="1"/>
  </r>
  <r>
    <n v="104"/>
    <x v="63"/>
    <s v="C1049"/>
    <x v="7"/>
    <x v="2"/>
    <n v="4"/>
    <n v="150"/>
    <n v="600"/>
    <n v="70"/>
    <n v="280"/>
    <n v="320"/>
    <x v="1"/>
    <x v="4"/>
    <x v="3"/>
    <n v="29.6"/>
    <n v="47.82"/>
    <n v="13.22"/>
    <n v="27.76"/>
    <n v="1.91"/>
    <n v="3.2"/>
    <n v="7.21"/>
    <n v="2.62"/>
    <n v="186.66"/>
    <x v="0"/>
    <x v="0"/>
  </r>
  <r>
    <n v="105"/>
    <x v="79"/>
    <s v="C1132"/>
    <x v="1"/>
    <x v="0"/>
    <n v="3"/>
    <n v="220"/>
    <n v="660"/>
    <n v="100"/>
    <n v="300"/>
    <n v="360"/>
    <x v="1"/>
    <x v="1"/>
    <x v="0"/>
    <n v="33.35"/>
    <n v="42.37"/>
    <n v="10.67"/>
    <n v="31.75"/>
    <n v="4.7699999999999996"/>
    <n v="10.54"/>
    <n v="2.44"/>
    <n v="1.19"/>
    <n v="222.92"/>
    <x v="1"/>
    <x v="1"/>
  </r>
  <r>
    <n v="106"/>
    <x v="80"/>
    <s v="C1147"/>
    <x v="1"/>
    <x v="0"/>
    <n v="1"/>
    <n v="220"/>
    <n v="220"/>
    <n v="100"/>
    <n v="100"/>
    <n v="120"/>
    <x v="2"/>
    <x v="3"/>
    <x v="5"/>
    <n v="29.5"/>
    <n v="56.8"/>
    <n v="19"/>
    <n v="4.95"/>
    <n v="1.55"/>
    <n v="2.1800000000000002"/>
    <n v="7.22"/>
    <n v="2.11"/>
    <n v="-3.31"/>
    <x v="0"/>
    <x v="1"/>
  </r>
  <r>
    <n v="107"/>
    <x v="81"/>
    <s v="C1323"/>
    <x v="4"/>
    <x v="0"/>
    <n v="2"/>
    <n v="120"/>
    <n v="240"/>
    <n v="50"/>
    <n v="100"/>
    <n v="140"/>
    <x v="1"/>
    <x v="1"/>
    <x v="3"/>
    <n v="24.23"/>
    <n v="28.41"/>
    <n v="6.6"/>
    <n v="6.15"/>
    <n v="3.6"/>
    <n v="5.67"/>
    <n v="6.41"/>
    <n v="1.4"/>
    <n v="57.53"/>
    <x v="0"/>
    <x v="0"/>
  </r>
  <r>
    <n v="108"/>
    <x v="82"/>
    <s v="C1171"/>
    <x v="2"/>
    <x v="1"/>
    <n v="1"/>
    <n v="80"/>
    <n v="80"/>
    <n v="30"/>
    <n v="30"/>
    <n v="50"/>
    <x v="0"/>
    <x v="4"/>
    <x v="0"/>
    <n v="34.299999999999997"/>
    <n v="34.200000000000003"/>
    <n v="5.64"/>
    <n v="4.13"/>
    <n v="3.44"/>
    <n v="9.1999999999999993"/>
    <n v="6.69"/>
    <n v="1.32"/>
    <n v="-48.92"/>
    <x v="0"/>
    <x v="1"/>
  </r>
  <r>
    <n v="109"/>
    <x v="83"/>
    <s v="C1005"/>
    <x v="6"/>
    <x v="0"/>
    <n v="4"/>
    <n v="180"/>
    <n v="720"/>
    <n v="75"/>
    <n v="300"/>
    <n v="420"/>
    <x v="4"/>
    <x v="0"/>
    <x v="3"/>
    <n v="21.15"/>
    <n v="21.85"/>
    <n v="13.22"/>
    <n v="1.1000000000000001"/>
    <n v="1.05"/>
    <n v="5.56"/>
    <n v="5.82"/>
    <n v="2.88"/>
    <n v="347.37"/>
    <x v="0"/>
    <x v="0"/>
  </r>
  <r>
    <n v="110"/>
    <x v="14"/>
    <s v="C1284"/>
    <x v="7"/>
    <x v="2"/>
    <n v="4"/>
    <n v="150"/>
    <n v="600"/>
    <n v="70"/>
    <n v="280"/>
    <n v="320"/>
    <x v="3"/>
    <x v="2"/>
    <x v="3"/>
    <n v="10.15"/>
    <n v="19.149999999999999"/>
    <n v="14.55"/>
    <n v="1.44"/>
    <n v="4.5199999999999996"/>
    <n v="12.65"/>
    <n v="2.38"/>
    <n v="0.45"/>
    <n v="254.71"/>
    <x v="0"/>
    <x v="0"/>
  </r>
  <r>
    <n v="111"/>
    <x v="54"/>
    <s v="C1060"/>
    <x v="0"/>
    <x v="0"/>
    <n v="4"/>
    <n v="200"/>
    <n v="800"/>
    <n v="90"/>
    <n v="360"/>
    <n v="440"/>
    <x v="3"/>
    <x v="0"/>
    <x v="2"/>
    <n v="31.84"/>
    <n v="55.01"/>
    <n v="8.6199999999999992"/>
    <n v="1.19"/>
    <n v="4.17"/>
    <n v="14.13"/>
    <n v="2.91"/>
    <n v="1.68"/>
    <n v="320.45"/>
    <x v="1"/>
    <x v="0"/>
  </r>
  <r>
    <n v="112"/>
    <x v="84"/>
    <s v="C1332"/>
    <x v="2"/>
    <x v="1"/>
    <n v="2"/>
    <n v="80"/>
    <n v="160"/>
    <n v="30"/>
    <n v="60"/>
    <n v="100"/>
    <x v="1"/>
    <x v="4"/>
    <x v="3"/>
    <n v="17.89"/>
    <n v="50.52"/>
    <n v="13.58"/>
    <n v="30.51"/>
    <n v="3.75"/>
    <n v="2.71"/>
    <n v="2.06"/>
    <n v="1.5"/>
    <n v="-22.52"/>
    <x v="2"/>
    <x v="0"/>
  </r>
  <r>
    <n v="113"/>
    <x v="85"/>
    <s v="C1159"/>
    <x v="6"/>
    <x v="0"/>
    <n v="1"/>
    <n v="180"/>
    <n v="180"/>
    <n v="75"/>
    <n v="75"/>
    <n v="105"/>
    <x v="4"/>
    <x v="3"/>
    <x v="4"/>
    <n v="15.3"/>
    <n v="44.38"/>
    <n v="7.67"/>
    <n v="1.1299999999999999"/>
    <n v="0.79"/>
    <n v="7.78"/>
    <n v="2.19"/>
    <n v="0.36"/>
    <n v="25.4"/>
    <x v="0"/>
    <x v="0"/>
  </r>
  <r>
    <n v="114"/>
    <x v="86"/>
    <s v="C1167"/>
    <x v="4"/>
    <x v="0"/>
    <n v="3"/>
    <n v="120"/>
    <n v="360"/>
    <n v="50"/>
    <n v="150"/>
    <n v="210"/>
    <x v="3"/>
    <x v="3"/>
    <x v="1"/>
    <n v="27.83"/>
    <n v="35.31"/>
    <n v="10.119999999999999"/>
    <n v="23.09"/>
    <n v="0.85"/>
    <n v="13.82"/>
    <n v="5.65"/>
    <n v="0.13"/>
    <n v="93.2"/>
    <x v="1"/>
    <x v="1"/>
  </r>
  <r>
    <n v="115"/>
    <x v="34"/>
    <s v="C1183"/>
    <x v="3"/>
    <x v="2"/>
    <n v="1"/>
    <n v="180"/>
    <n v="180"/>
    <n v="90"/>
    <n v="90"/>
    <n v="90"/>
    <x v="3"/>
    <x v="3"/>
    <x v="0"/>
    <n v="36.49"/>
    <n v="35.46"/>
    <n v="9.52"/>
    <n v="10.92"/>
    <n v="0.52"/>
    <n v="10.029999999999999"/>
    <n v="4.1100000000000003"/>
    <n v="1.0900000000000001"/>
    <n v="-18.14"/>
    <x v="2"/>
    <x v="1"/>
  </r>
  <r>
    <n v="116"/>
    <x v="79"/>
    <s v="C1253"/>
    <x v="7"/>
    <x v="2"/>
    <n v="2"/>
    <n v="150"/>
    <n v="300"/>
    <n v="70"/>
    <n v="140"/>
    <n v="160"/>
    <x v="0"/>
    <x v="3"/>
    <x v="3"/>
    <n v="29.56"/>
    <n v="17.96"/>
    <n v="8.0299999999999994"/>
    <n v="0.22"/>
    <n v="4.3499999999999996"/>
    <n v="4.0199999999999996"/>
    <n v="1.99"/>
    <n v="1.8"/>
    <n v="92.07"/>
    <x v="2"/>
    <x v="1"/>
  </r>
  <r>
    <n v="117"/>
    <x v="87"/>
    <s v="C1218"/>
    <x v="4"/>
    <x v="0"/>
    <n v="4"/>
    <n v="120"/>
    <n v="480"/>
    <n v="50"/>
    <n v="200"/>
    <n v="280"/>
    <x v="0"/>
    <x v="4"/>
    <x v="4"/>
    <n v="20.420000000000002"/>
    <n v="18.89"/>
    <n v="8.85"/>
    <n v="3.35"/>
    <n v="1.93"/>
    <n v="10.029999999999999"/>
    <n v="2.79"/>
    <n v="0.92"/>
    <n v="212.82"/>
    <x v="0"/>
    <x v="0"/>
  </r>
  <r>
    <n v="118"/>
    <x v="88"/>
    <s v="C1007"/>
    <x v="6"/>
    <x v="0"/>
    <n v="3"/>
    <n v="180"/>
    <n v="540"/>
    <n v="75"/>
    <n v="225"/>
    <n v="315"/>
    <x v="0"/>
    <x v="1"/>
    <x v="0"/>
    <n v="23.74"/>
    <n v="38.76"/>
    <n v="5.38"/>
    <n v="4.76"/>
    <n v="0.69"/>
    <n v="8.44"/>
    <n v="4.2699999999999996"/>
    <n v="0.93"/>
    <n v="228.03"/>
    <x v="0"/>
    <x v="1"/>
  </r>
  <r>
    <n v="119"/>
    <x v="89"/>
    <s v="C1035"/>
    <x v="0"/>
    <x v="0"/>
    <n v="2"/>
    <n v="200"/>
    <n v="400"/>
    <n v="90"/>
    <n v="180"/>
    <n v="220"/>
    <x v="1"/>
    <x v="0"/>
    <x v="2"/>
    <n v="30.23"/>
    <n v="53.42"/>
    <n v="9.2799999999999994"/>
    <n v="4.99"/>
    <n v="4.28"/>
    <n v="3.11"/>
    <n v="6.54"/>
    <n v="1.61"/>
    <n v="106.54"/>
    <x v="0"/>
    <x v="1"/>
  </r>
  <r>
    <n v="120"/>
    <x v="90"/>
    <s v="C1312"/>
    <x v="2"/>
    <x v="1"/>
    <n v="4"/>
    <n v="80"/>
    <n v="320"/>
    <n v="30"/>
    <n v="120"/>
    <n v="200"/>
    <x v="1"/>
    <x v="3"/>
    <x v="5"/>
    <n v="28.18"/>
    <n v="49.05"/>
    <n v="6.18"/>
    <n v="30.5"/>
    <n v="4.84"/>
    <n v="2.58"/>
    <n v="7.37"/>
    <n v="0.56000000000000005"/>
    <n v="70.739999999999995"/>
    <x v="2"/>
    <x v="0"/>
  </r>
  <r>
    <n v="121"/>
    <x v="18"/>
    <s v="C1121"/>
    <x v="2"/>
    <x v="1"/>
    <n v="4"/>
    <n v="80"/>
    <n v="320"/>
    <n v="30"/>
    <n v="120"/>
    <n v="200"/>
    <x v="1"/>
    <x v="1"/>
    <x v="4"/>
    <n v="18.13"/>
    <n v="21.66"/>
    <n v="14.59"/>
    <n v="29.26"/>
    <n v="2.74"/>
    <n v="10.52"/>
    <n v="2.4500000000000002"/>
    <n v="2.09"/>
    <n v="98.56"/>
    <x v="1"/>
    <x v="1"/>
  </r>
  <r>
    <n v="122"/>
    <x v="50"/>
    <s v="C1036"/>
    <x v="4"/>
    <x v="0"/>
    <n v="3"/>
    <n v="120"/>
    <n v="360"/>
    <n v="50"/>
    <n v="150"/>
    <n v="210"/>
    <x v="2"/>
    <x v="4"/>
    <x v="2"/>
    <n v="34.26"/>
    <n v="55.16"/>
    <n v="16.16"/>
    <n v="16.25"/>
    <n v="4.16"/>
    <n v="4.5999999999999996"/>
    <n v="2.89"/>
    <n v="1.41"/>
    <n v="75.11"/>
    <x v="2"/>
    <x v="1"/>
  </r>
  <r>
    <n v="123"/>
    <x v="91"/>
    <s v="C1043"/>
    <x v="3"/>
    <x v="2"/>
    <n v="4"/>
    <n v="180"/>
    <n v="720"/>
    <n v="90"/>
    <n v="360"/>
    <n v="360"/>
    <x v="2"/>
    <x v="2"/>
    <x v="4"/>
    <n v="37.979999999999997"/>
    <n v="36.369999999999997"/>
    <n v="7.3"/>
    <n v="8.67"/>
    <n v="2.17"/>
    <n v="11.87"/>
    <n v="4.62"/>
    <n v="1.87"/>
    <n v="249.15"/>
    <x v="2"/>
    <x v="1"/>
  </r>
  <r>
    <n v="124"/>
    <x v="42"/>
    <s v="C1339"/>
    <x v="5"/>
    <x v="0"/>
    <n v="2"/>
    <n v="250"/>
    <n v="500"/>
    <n v="110"/>
    <n v="220"/>
    <n v="280"/>
    <x v="2"/>
    <x v="1"/>
    <x v="5"/>
    <n v="26.04"/>
    <n v="35.33"/>
    <n v="18.36"/>
    <n v="34.4"/>
    <n v="4.22"/>
    <n v="12.48"/>
    <n v="7.05"/>
    <n v="0.19"/>
    <n v="141.93"/>
    <x v="0"/>
    <x v="1"/>
  </r>
  <r>
    <n v="125"/>
    <x v="92"/>
    <s v="C1153"/>
    <x v="0"/>
    <x v="0"/>
    <n v="3"/>
    <n v="200"/>
    <n v="600"/>
    <n v="90"/>
    <n v="270"/>
    <n v="330"/>
    <x v="1"/>
    <x v="3"/>
    <x v="5"/>
    <n v="11.01"/>
    <n v="33.81"/>
    <n v="18.04"/>
    <n v="9.1199999999999992"/>
    <n v="2.89"/>
    <n v="12.16"/>
    <n v="3.84"/>
    <n v="2.4"/>
    <n v="236.73"/>
    <x v="2"/>
    <x v="1"/>
  </r>
  <r>
    <n v="126"/>
    <x v="93"/>
    <s v="C1042"/>
    <x v="2"/>
    <x v="1"/>
    <n v="3"/>
    <n v="80"/>
    <n v="240"/>
    <n v="30"/>
    <n v="90"/>
    <n v="150"/>
    <x v="2"/>
    <x v="0"/>
    <x v="4"/>
    <n v="36.69"/>
    <n v="38.31"/>
    <n v="19.329999999999998"/>
    <n v="8.52"/>
    <n v="0.75"/>
    <n v="6.47"/>
    <n v="2.46"/>
    <n v="2.72"/>
    <n v="34.75"/>
    <x v="0"/>
    <x v="1"/>
  </r>
  <r>
    <n v="127"/>
    <x v="27"/>
    <s v="C1028"/>
    <x v="5"/>
    <x v="0"/>
    <n v="3"/>
    <n v="250"/>
    <n v="750"/>
    <n v="110"/>
    <n v="330"/>
    <n v="420"/>
    <x v="4"/>
    <x v="2"/>
    <x v="2"/>
    <n v="22.55"/>
    <n v="27.97"/>
    <n v="11.35"/>
    <n v="12.02"/>
    <n v="0.81"/>
    <n v="7.08"/>
    <n v="1.44"/>
    <n v="2.67"/>
    <n v="334.11"/>
    <x v="2"/>
    <x v="0"/>
  </r>
  <r>
    <n v="128"/>
    <x v="25"/>
    <s v="C1041"/>
    <x v="7"/>
    <x v="2"/>
    <n v="1"/>
    <n v="150"/>
    <n v="150"/>
    <n v="70"/>
    <n v="70"/>
    <n v="80"/>
    <x v="4"/>
    <x v="1"/>
    <x v="3"/>
    <n v="29.53"/>
    <n v="40.61"/>
    <n v="8.24"/>
    <n v="1.53"/>
    <n v="1.25"/>
    <n v="6.19"/>
    <n v="7.11"/>
    <n v="1.1200000000000001"/>
    <n v="-15.58"/>
    <x v="1"/>
    <x v="0"/>
  </r>
  <r>
    <n v="129"/>
    <x v="94"/>
    <s v="C1268"/>
    <x v="4"/>
    <x v="0"/>
    <n v="3"/>
    <n v="120"/>
    <n v="360"/>
    <n v="50"/>
    <n v="150"/>
    <n v="210"/>
    <x v="0"/>
    <x v="0"/>
    <x v="3"/>
    <n v="22.78"/>
    <n v="15.48"/>
    <n v="7.48"/>
    <n v="10.53"/>
    <n v="0.59"/>
    <n v="8.06"/>
    <n v="2.87"/>
    <n v="2.88"/>
    <n v="139.33000000000001"/>
    <x v="0"/>
    <x v="0"/>
  </r>
  <r>
    <n v="130"/>
    <x v="95"/>
    <s v="C1301"/>
    <x v="2"/>
    <x v="1"/>
    <n v="4"/>
    <n v="80"/>
    <n v="320"/>
    <n v="30"/>
    <n v="120"/>
    <n v="200"/>
    <x v="3"/>
    <x v="2"/>
    <x v="5"/>
    <n v="11.45"/>
    <n v="55.61"/>
    <n v="18.309999999999999"/>
    <n v="14.21"/>
    <n v="4.3899999999999997"/>
    <n v="6.38"/>
    <n v="3.71"/>
    <n v="1.66"/>
    <n v="84.28"/>
    <x v="1"/>
    <x v="0"/>
  </r>
  <r>
    <n v="131"/>
    <x v="96"/>
    <s v="C1069"/>
    <x v="2"/>
    <x v="1"/>
    <n v="3"/>
    <n v="80"/>
    <n v="240"/>
    <n v="30"/>
    <n v="90"/>
    <n v="150"/>
    <x v="0"/>
    <x v="2"/>
    <x v="1"/>
    <n v="23.49"/>
    <n v="19.87"/>
    <n v="12.42"/>
    <n v="21.78"/>
    <n v="3.11"/>
    <n v="2.63"/>
    <n v="5.34"/>
    <n v="2.2999999999999998"/>
    <n v="59.06"/>
    <x v="1"/>
    <x v="1"/>
  </r>
  <r>
    <n v="132"/>
    <x v="56"/>
    <s v="C1172"/>
    <x v="3"/>
    <x v="2"/>
    <n v="3"/>
    <n v="180"/>
    <n v="540"/>
    <n v="90"/>
    <n v="270"/>
    <n v="270"/>
    <x v="3"/>
    <x v="0"/>
    <x v="0"/>
    <n v="18.72"/>
    <n v="30.07"/>
    <n v="12.47"/>
    <n v="29.9"/>
    <n v="1.84"/>
    <n v="12.05"/>
    <n v="7.12"/>
    <n v="1.64"/>
    <n v="156.19"/>
    <x v="0"/>
    <x v="0"/>
  </r>
  <r>
    <n v="133"/>
    <x v="97"/>
    <s v="C1264"/>
    <x v="0"/>
    <x v="0"/>
    <n v="2"/>
    <n v="200"/>
    <n v="400"/>
    <n v="90"/>
    <n v="180"/>
    <n v="220"/>
    <x v="3"/>
    <x v="3"/>
    <x v="1"/>
    <n v="19.059999999999999"/>
    <n v="53.43"/>
    <n v="17.55"/>
    <n v="12.68"/>
    <n v="3.19"/>
    <n v="10.51"/>
    <n v="1.71"/>
    <n v="0.95"/>
    <n v="100.92"/>
    <x v="2"/>
    <x v="1"/>
  </r>
  <r>
    <n v="134"/>
    <x v="98"/>
    <s v="C1341"/>
    <x v="5"/>
    <x v="0"/>
    <n v="2"/>
    <n v="250"/>
    <n v="500"/>
    <n v="110"/>
    <n v="220"/>
    <n v="280"/>
    <x v="2"/>
    <x v="1"/>
    <x v="5"/>
    <n v="11.89"/>
    <n v="36.479999999999997"/>
    <n v="8"/>
    <n v="19.46"/>
    <n v="3.68"/>
    <n v="13.28"/>
    <n v="2.4"/>
    <n v="0.49"/>
    <n v="184.32"/>
    <x v="2"/>
    <x v="0"/>
  </r>
  <r>
    <n v="135"/>
    <x v="37"/>
    <s v="C1021"/>
    <x v="6"/>
    <x v="0"/>
    <n v="1"/>
    <n v="180"/>
    <n v="180"/>
    <n v="75"/>
    <n v="75"/>
    <n v="105"/>
    <x v="0"/>
    <x v="1"/>
    <x v="0"/>
    <n v="20.010000000000002"/>
    <n v="48.42"/>
    <n v="13.61"/>
    <n v="9.56"/>
    <n v="1.7"/>
    <n v="6.65"/>
    <n v="6.66"/>
    <n v="0.57999999999999996"/>
    <n v="-2.19"/>
    <x v="0"/>
    <x v="0"/>
  </r>
  <r>
    <n v="136"/>
    <x v="95"/>
    <s v="C1107"/>
    <x v="2"/>
    <x v="1"/>
    <n v="1"/>
    <n v="80"/>
    <n v="80"/>
    <n v="30"/>
    <n v="30"/>
    <n v="50"/>
    <x v="4"/>
    <x v="4"/>
    <x v="3"/>
    <n v="14.55"/>
    <n v="51.75"/>
    <n v="10.88"/>
    <n v="16.02"/>
    <n v="2.09"/>
    <n v="8.77"/>
    <n v="3.85"/>
    <n v="1.73"/>
    <n v="-59.64"/>
    <x v="1"/>
    <x v="0"/>
  </r>
  <r>
    <n v="137"/>
    <x v="80"/>
    <s v="C1013"/>
    <x v="3"/>
    <x v="2"/>
    <n v="1"/>
    <n v="180"/>
    <n v="180"/>
    <n v="90"/>
    <n v="90"/>
    <n v="90"/>
    <x v="1"/>
    <x v="3"/>
    <x v="0"/>
    <n v="16.18"/>
    <n v="16.57"/>
    <n v="15.53"/>
    <n v="31.13"/>
    <n v="4.5599999999999996"/>
    <n v="11.87"/>
    <n v="7.37"/>
    <n v="2.02"/>
    <n v="-15.23"/>
    <x v="1"/>
    <x v="0"/>
  </r>
  <r>
    <n v="138"/>
    <x v="99"/>
    <s v="C1206"/>
    <x v="1"/>
    <x v="0"/>
    <n v="1"/>
    <n v="220"/>
    <n v="220"/>
    <n v="100"/>
    <n v="100"/>
    <n v="120"/>
    <x v="3"/>
    <x v="0"/>
    <x v="4"/>
    <n v="34.11"/>
    <n v="19.59"/>
    <n v="18.920000000000002"/>
    <n v="23.2"/>
    <n v="1.1100000000000001"/>
    <n v="12.68"/>
    <n v="6.46"/>
    <n v="2.2000000000000002"/>
    <n v="1.73"/>
    <x v="1"/>
    <x v="0"/>
  </r>
  <r>
    <n v="139"/>
    <x v="15"/>
    <s v="C1122"/>
    <x v="0"/>
    <x v="0"/>
    <n v="3"/>
    <n v="200"/>
    <n v="600"/>
    <n v="90"/>
    <n v="270"/>
    <n v="330"/>
    <x v="2"/>
    <x v="1"/>
    <x v="3"/>
    <n v="11.98"/>
    <n v="48.31"/>
    <n v="7.31"/>
    <n v="34.42"/>
    <n v="2.86"/>
    <n v="12.05"/>
    <n v="1.86"/>
    <n v="1.92"/>
    <n v="209.29"/>
    <x v="2"/>
    <x v="1"/>
  </r>
  <r>
    <n v="140"/>
    <x v="10"/>
    <s v="C1083"/>
    <x v="2"/>
    <x v="1"/>
    <n v="2"/>
    <n v="80"/>
    <n v="160"/>
    <n v="30"/>
    <n v="60"/>
    <n v="100"/>
    <x v="3"/>
    <x v="1"/>
    <x v="0"/>
    <n v="26.36"/>
    <n v="48.56"/>
    <n v="9.65"/>
    <n v="17.09"/>
    <n v="3.61"/>
    <n v="10.95"/>
    <n v="4.9800000000000004"/>
    <n v="2.98"/>
    <n v="-24.18"/>
    <x v="1"/>
    <x v="1"/>
  </r>
  <r>
    <n v="141"/>
    <x v="81"/>
    <s v="C1133"/>
    <x v="7"/>
    <x v="2"/>
    <n v="2"/>
    <n v="150"/>
    <n v="300"/>
    <n v="70"/>
    <n v="140"/>
    <n v="160"/>
    <x v="3"/>
    <x v="1"/>
    <x v="1"/>
    <n v="21.86"/>
    <n v="52.47"/>
    <n v="17.809999999999999"/>
    <n v="31.13"/>
    <n v="2.84"/>
    <n v="4.37"/>
    <n v="2.62"/>
    <n v="0.81"/>
    <n v="26.09"/>
    <x v="1"/>
    <x v="0"/>
  </r>
  <r>
    <n v="142"/>
    <x v="4"/>
    <s v="C1338"/>
    <x v="1"/>
    <x v="0"/>
    <n v="4"/>
    <n v="220"/>
    <n v="880"/>
    <n v="100"/>
    <n v="400"/>
    <n v="480"/>
    <x v="3"/>
    <x v="0"/>
    <x v="4"/>
    <n v="20.12"/>
    <n v="19.77"/>
    <n v="7.93"/>
    <n v="33.04"/>
    <n v="1.83"/>
    <n v="5.75"/>
    <n v="1.1499999999999999"/>
    <n v="2.4500000000000002"/>
    <n v="387.96"/>
    <x v="2"/>
    <x v="0"/>
  </r>
  <r>
    <n v="143"/>
    <x v="100"/>
    <s v="C1066"/>
    <x v="2"/>
    <x v="1"/>
    <n v="2"/>
    <n v="80"/>
    <n v="160"/>
    <n v="30"/>
    <n v="60"/>
    <n v="100"/>
    <x v="1"/>
    <x v="2"/>
    <x v="1"/>
    <n v="12.37"/>
    <n v="50.39"/>
    <n v="6.22"/>
    <n v="18.52"/>
    <n v="4.84"/>
    <n v="8.2899999999999991"/>
    <n v="3.79"/>
    <n v="2.63"/>
    <n v="-7.05"/>
    <x v="0"/>
    <x v="1"/>
  </r>
  <r>
    <n v="144"/>
    <x v="101"/>
    <s v="C1204"/>
    <x v="5"/>
    <x v="0"/>
    <n v="1"/>
    <n v="250"/>
    <n v="250"/>
    <n v="110"/>
    <n v="110"/>
    <n v="140"/>
    <x v="1"/>
    <x v="1"/>
    <x v="2"/>
    <n v="36.39"/>
    <n v="18.670000000000002"/>
    <n v="7.6"/>
    <n v="0.46"/>
    <n v="4.72"/>
    <n v="12.95"/>
    <n v="1.58"/>
    <n v="2.1800000000000002"/>
    <n v="55.45"/>
    <x v="2"/>
    <x v="0"/>
  </r>
  <r>
    <n v="145"/>
    <x v="102"/>
    <s v="C1064"/>
    <x v="4"/>
    <x v="0"/>
    <n v="2"/>
    <n v="120"/>
    <n v="240"/>
    <n v="50"/>
    <n v="100"/>
    <n v="140"/>
    <x v="2"/>
    <x v="1"/>
    <x v="5"/>
    <n v="37.590000000000003"/>
    <n v="16.850000000000001"/>
    <n v="12.89"/>
    <n v="26.34"/>
    <n v="0.93"/>
    <n v="9.25"/>
    <n v="6.24"/>
    <n v="1.9"/>
    <n v="28.01"/>
    <x v="1"/>
    <x v="0"/>
  </r>
  <r>
    <n v="146"/>
    <x v="69"/>
    <s v="C1161"/>
    <x v="3"/>
    <x v="2"/>
    <n v="4"/>
    <n v="180"/>
    <n v="720"/>
    <n v="90"/>
    <n v="360"/>
    <n v="360"/>
    <x v="3"/>
    <x v="4"/>
    <x v="2"/>
    <n v="23.68"/>
    <n v="38.020000000000003"/>
    <n v="13.19"/>
    <n v="24.58"/>
    <n v="3.28"/>
    <n v="11.61"/>
    <n v="1.33"/>
    <n v="0.15"/>
    <n v="244.16"/>
    <x v="0"/>
    <x v="1"/>
  </r>
  <r>
    <n v="147"/>
    <x v="103"/>
    <s v="C1007"/>
    <x v="5"/>
    <x v="0"/>
    <n v="3"/>
    <n v="250"/>
    <n v="750"/>
    <n v="110"/>
    <n v="330"/>
    <n v="420"/>
    <x v="1"/>
    <x v="2"/>
    <x v="2"/>
    <n v="14.69"/>
    <n v="36.700000000000003"/>
    <n v="13.81"/>
    <n v="13.31"/>
    <n v="0.21"/>
    <n v="13.54"/>
    <n v="7.01"/>
    <n v="1.57"/>
    <n v="319.16000000000003"/>
    <x v="0"/>
    <x v="0"/>
  </r>
  <r>
    <n v="148"/>
    <x v="54"/>
    <s v="C1057"/>
    <x v="7"/>
    <x v="2"/>
    <n v="4"/>
    <n v="150"/>
    <n v="600"/>
    <n v="70"/>
    <n v="280"/>
    <n v="320"/>
    <x v="1"/>
    <x v="0"/>
    <x v="1"/>
    <n v="30.82"/>
    <n v="28.79"/>
    <n v="13.86"/>
    <n v="28.41"/>
    <n v="3.89"/>
    <n v="12.37"/>
    <n v="1.53"/>
    <n v="2.8"/>
    <n v="197.53"/>
    <x v="0"/>
    <x v="0"/>
  </r>
  <r>
    <n v="149"/>
    <x v="104"/>
    <s v="C1178"/>
    <x v="4"/>
    <x v="0"/>
    <n v="1"/>
    <n v="120"/>
    <n v="120"/>
    <n v="50"/>
    <n v="50"/>
    <n v="70"/>
    <x v="0"/>
    <x v="2"/>
    <x v="0"/>
    <n v="12.38"/>
    <n v="55.78"/>
    <n v="14.51"/>
    <n v="11.52"/>
    <n v="0.86"/>
    <n v="11.62"/>
    <n v="5.45"/>
    <n v="1.71"/>
    <n v="-43.83"/>
    <x v="2"/>
    <x v="0"/>
  </r>
  <r>
    <n v="150"/>
    <x v="105"/>
    <s v="C1313"/>
    <x v="0"/>
    <x v="0"/>
    <n v="1"/>
    <n v="200"/>
    <n v="200"/>
    <n v="90"/>
    <n v="90"/>
    <n v="110"/>
    <x v="0"/>
    <x v="2"/>
    <x v="5"/>
    <n v="10.91"/>
    <n v="41.84"/>
    <n v="7.34"/>
    <n v="29.49"/>
    <n v="4.37"/>
    <n v="7.76"/>
    <n v="1.74"/>
    <n v="2.99"/>
    <n v="3.56"/>
    <x v="0"/>
    <x v="0"/>
  </r>
  <r>
    <n v="151"/>
    <x v="34"/>
    <s v="C1152"/>
    <x v="1"/>
    <x v="0"/>
    <n v="3"/>
    <n v="220"/>
    <n v="660"/>
    <n v="100"/>
    <n v="300"/>
    <n v="360"/>
    <x v="1"/>
    <x v="1"/>
    <x v="5"/>
    <n v="23.54"/>
    <n v="22.06"/>
    <n v="18.420000000000002"/>
    <n v="10.62"/>
    <n v="0.85"/>
    <n v="12.41"/>
    <n v="2.65"/>
    <n v="2.91"/>
    <n v="266.54000000000002"/>
    <x v="1"/>
    <x v="1"/>
  </r>
  <r>
    <n v="152"/>
    <x v="24"/>
    <s v="C1039"/>
    <x v="5"/>
    <x v="0"/>
    <n v="2"/>
    <n v="250"/>
    <n v="500"/>
    <n v="110"/>
    <n v="220"/>
    <n v="280"/>
    <x v="4"/>
    <x v="4"/>
    <x v="3"/>
    <n v="18.940000000000001"/>
    <n v="39.11"/>
    <n v="9.18"/>
    <n v="3.55"/>
    <n v="4.04"/>
    <n v="13.89"/>
    <n v="3.38"/>
    <n v="0.3"/>
    <n v="187.61"/>
    <x v="2"/>
    <x v="1"/>
  </r>
  <r>
    <n v="153"/>
    <x v="106"/>
    <s v="C1104"/>
    <x v="2"/>
    <x v="1"/>
    <n v="3"/>
    <n v="80"/>
    <n v="240"/>
    <n v="30"/>
    <n v="90"/>
    <n v="150"/>
    <x v="0"/>
    <x v="1"/>
    <x v="1"/>
    <n v="11"/>
    <n v="19.53"/>
    <n v="6.38"/>
    <n v="6.03"/>
    <n v="1.46"/>
    <n v="13.2"/>
    <n v="6.84"/>
    <n v="2.57"/>
    <n v="82.99"/>
    <x v="1"/>
    <x v="0"/>
  </r>
  <r>
    <n v="154"/>
    <x v="107"/>
    <s v="C1158"/>
    <x v="4"/>
    <x v="0"/>
    <n v="3"/>
    <n v="120"/>
    <n v="360"/>
    <n v="50"/>
    <n v="150"/>
    <n v="210"/>
    <x v="1"/>
    <x v="0"/>
    <x v="0"/>
    <n v="37.96"/>
    <n v="45.29"/>
    <n v="7.36"/>
    <n v="27.52"/>
    <n v="4.1500000000000004"/>
    <n v="7.38"/>
    <n v="2.16"/>
    <n v="1.66"/>
    <n v="76.52"/>
    <x v="0"/>
    <x v="0"/>
  </r>
  <r>
    <n v="155"/>
    <x v="108"/>
    <s v="C1076"/>
    <x v="2"/>
    <x v="1"/>
    <n v="1"/>
    <n v="80"/>
    <n v="80"/>
    <n v="30"/>
    <n v="30"/>
    <n v="50"/>
    <x v="2"/>
    <x v="3"/>
    <x v="1"/>
    <n v="10.94"/>
    <n v="58.4"/>
    <n v="6.79"/>
    <n v="6.35"/>
    <n v="4.8099999999999996"/>
    <n v="11.58"/>
    <n v="7.63"/>
    <n v="1.1399999999999999"/>
    <n v="-57.64"/>
    <x v="1"/>
    <x v="1"/>
  </r>
  <r>
    <n v="156"/>
    <x v="57"/>
    <s v="C1195"/>
    <x v="7"/>
    <x v="2"/>
    <n v="3"/>
    <n v="150"/>
    <n v="450"/>
    <n v="70"/>
    <n v="210"/>
    <n v="240"/>
    <x v="2"/>
    <x v="4"/>
    <x v="3"/>
    <n v="22.73"/>
    <n v="39.090000000000003"/>
    <n v="8.91"/>
    <n v="8.19"/>
    <n v="1.41"/>
    <n v="2.33"/>
    <n v="3.01"/>
    <n v="2.78"/>
    <n v="151.55000000000001"/>
    <x v="2"/>
    <x v="0"/>
  </r>
  <r>
    <n v="157"/>
    <x v="109"/>
    <s v="C1103"/>
    <x v="1"/>
    <x v="0"/>
    <n v="4"/>
    <n v="220"/>
    <n v="880"/>
    <n v="100"/>
    <n v="400"/>
    <n v="480"/>
    <x v="4"/>
    <x v="4"/>
    <x v="5"/>
    <n v="34.04"/>
    <n v="54.9"/>
    <n v="9.4700000000000006"/>
    <n v="29.75"/>
    <n v="1.88"/>
    <n v="7.47"/>
    <n v="2.44"/>
    <n v="1.46"/>
    <n v="338.59"/>
    <x v="0"/>
    <x v="1"/>
  </r>
  <r>
    <n v="158"/>
    <x v="39"/>
    <s v="C1033"/>
    <x v="5"/>
    <x v="0"/>
    <n v="2"/>
    <n v="250"/>
    <n v="500"/>
    <n v="110"/>
    <n v="220"/>
    <n v="280"/>
    <x v="2"/>
    <x v="4"/>
    <x v="5"/>
    <n v="33.869999999999997"/>
    <n v="36.130000000000003"/>
    <n v="12.76"/>
    <n v="24.63"/>
    <n v="1.7"/>
    <n v="5.85"/>
    <n v="4.87"/>
    <n v="2.98"/>
    <n v="157.21"/>
    <x v="2"/>
    <x v="1"/>
  </r>
  <r>
    <n v="159"/>
    <x v="110"/>
    <s v="C1217"/>
    <x v="1"/>
    <x v="0"/>
    <n v="4"/>
    <n v="220"/>
    <n v="880"/>
    <n v="100"/>
    <n v="400"/>
    <n v="480"/>
    <x v="2"/>
    <x v="4"/>
    <x v="4"/>
    <n v="15.82"/>
    <n v="59.81"/>
    <n v="8.84"/>
    <n v="14.87"/>
    <n v="2.37"/>
    <n v="3.91"/>
    <n v="5.28"/>
    <n v="2.59"/>
    <n v="366.51"/>
    <x v="2"/>
    <x v="0"/>
  </r>
  <r>
    <n v="160"/>
    <x v="111"/>
    <s v="C1196"/>
    <x v="2"/>
    <x v="1"/>
    <n v="2"/>
    <n v="80"/>
    <n v="160"/>
    <n v="30"/>
    <n v="60"/>
    <n v="100"/>
    <x v="0"/>
    <x v="3"/>
    <x v="0"/>
    <n v="34.51"/>
    <n v="55.57"/>
    <n v="8.76"/>
    <n v="4.16"/>
    <n v="2.21"/>
    <n v="4.82"/>
    <n v="2.79"/>
    <n v="0.38"/>
    <n v="-13.2"/>
    <x v="0"/>
    <x v="1"/>
  </r>
  <r>
    <n v="161"/>
    <x v="112"/>
    <s v="C1049"/>
    <x v="6"/>
    <x v="0"/>
    <n v="3"/>
    <n v="180"/>
    <n v="540"/>
    <n v="75"/>
    <n v="225"/>
    <n v="315"/>
    <x v="0"/>
    <x v="3"/>
    <x v="0"/>
    <n v="15.11"/>
    <n v="28.14"/>
    <n v="14.53"/>
    <n v="12.82"/>
    <n v="1.85"/>
    <n v="9.68"/>
    <n v="1.59"/>
    <n v="0.77"/>
    <n v="230.51"/>
    <x v="1"/>
    <x v="1"/>
  </r>
  <r>
    <n v="162"/>
    <x v="44"/>
    <s v="C1057"/>
    <x v="2"/>
    <x v="1"/>
    <n v="4"/>
    <n v="80"/>
    <n v="320"/>
    <n v="30"/>
    <n v="120"/>
    <n v="200"/>
    <x v="0"/>
    <x v="2"/>
    <x v="3"/>
    <n v="38.71"/>
    <n v="37.89"/>
    <n v="10.66"/>
    <n v="31.9"/>
    <n v="1.03"/>
    <n v="3.2"/>
    <n v="6.76"/>
    <n v="1.73"/>
    <n v="68.12"/>
    <x v="2"/>
    <x v="0"/>
  </r>
  <r>
    <n v="163"/>
    <x v="80"/>
    <s v="C1275"/>
    <x v="3"/>
    <x v="2"/>
    <n v="3"/>
    <n v="180"/>
    <n v="540"/>
    <n v="90"/>
    <n v="270"/>
    <n v="270"/>
    <x v="3"/>
    <x v="0"/>
    <x v="0"/>
    <n v="25.21"/>
    <n v="18.829999999999998"/>
    <n v="10.42"/>
    <n v="25.86"/>
    <n v="2.57"/>
    <n v="10.74"/>
    <n v="4.67"/>
    <n v="1.31"/>
    <n v="170.39"/>
    <x v="0"/>
    <x v="0"/>
  </r>
  <r>
    <n v="164"/>
    <x v="113"/>
    <s v="C1251"/>
    <x v="0"/>
    <x v="0"/>
    <n v="2"/>
    <n v="200"/>
    <n v="400"/>
    <n v="90"/>
    <n v="180"/>
    <n v="220"/>
    <x v="4"/>
    <x v="2"/>
    <x v="5"/>
    <n v="10.66"/>
    <n v="18.16"/>
    <n v="7.19"/>
    <n v="16.7"/>
    <n v="1.83"/>
    <n v="14.46"/>
    <n v="2.99"/>
    <n v="2.02"/>
    <n v="145.99"/>
    <x v="1"/>
    <x v="0"/>
  </r>
  <r>
    <n v="165"/>
    <x v="71"/>
    <s v="C1045"/>
    <x v="3"/>
    <x v="2"/>
    <n v="1"/>
    <n v="180"/>
    <n v="180"/>
    <n v="90"/>
    <n v="90"/>
    <n v="90"/>
    <x v="1"/>
    <x v="0"/>
    <x v="5"/>
    <n v="10.58"/>
    <n v="47.28"/>
    <n v="5.59"/>
    <n v="17.239999999999998"/>
    <n v="1.65"/>
    <n v="10.35"/>
    <n v="7.24"/>
    <n v="0.05"/>
    <n v="-9.98"/>
    <x v="1"/>
    <x v="0"/>
  </r>
  <r>
    <n v="166"/>
    <x v="98"/>
    <s v="C1055"/>
    <x v="7"/>
    <x v="2"/>
    <n v="1"/>
    <n v="150"/>
    <n v="150"/>
    <n v="70"/>
    <n v="70"/>
    <n v="80"/>
    <x v="4"/>
    <x v="3"/>
    <x v="1"/>
    <n v="31.41"/>
    <n v="47.92"/>
    <n v="18.78"/>
    <n v="7.07"/>
    <n v="4"/>
    <n v="10.94"/>
    <n v="4.67"/>
    <n v="0.25"/>
    <n v="-45.04"/>
    <x v="1"/>
    <x v="1"/>
  </r>
  <r>
    <n v="167"/>
    <x v="21"/>
    <s v="C1080"/>
    <x v="3"/>
    <x v="2"/>
    <n v="4"/>
    <n v="180"/>
    <n v="720"/>
    <n v="90"/>
    <n v="360"/>
    <n v="360"/>
    <x v="2"/>
    <x v="1"/>
    <x v="1"/>
    <n v="30.46"/>
    <n v="35.619999999999997"/>
    <n v="9.4600000000000009"/>
    <n v="8.4600000000000009"/>
    <n v="2.48"/>
    <n v="12.77"/>
    <n v="3.85"/>
    <n v="0.21"/>
    <n v="256.69"/>
    <x v="1"/>
    <x v="0"/>
  </r>
  <r>
    <n v="168"/>
    <x v="114"/>
    <s v="C1217"/>
    <x v="7"/>
    <x v="2"/>
    <n v="3"/>
    <n v="150"/>
    <n v="450"/>
    <n v="70"/>
    <n v="210"/>
    <n v="240"/>
    <x v="3"/>
    <x v="4"/>
    <x v="5"/>
    <n v="19.3"/>
    <n v="25.01"/>
    <n v="11.11"/>
    <n v="15.74"/>
    <n v="0.18"/>
    <n v="4.4800000000000004"/>
    <n v="3.36"/>
    <n v="1.82"/>
    <n v="159"/>
    <x v="0"/>
    <x v="0"/>
  </r>
  <r>
    <n v="169"/>
    <x v="115"/>
    <s v="C1034"/>
    <x v="1"/>
    <x v="0"/>
    <n v="4"/>
    <n v="220"/>
    <n v="880"/>
    <n v="100"/>
    <n v="400"/>
    <n v="480"/>
    <x v="0"/>
    <x v="4"/>
    <x v="5"/>
    <n v="18.559999999999999"/>
    <n v="52.9"/>
    <n v="6.03"/>
    <n v="34.03"/>
    <n v="1.69"/>
    <n v="10.6"/>
    <n v="6.23"/>
    <n v="0.99"/>
    <n v="348.97"/>
    <x v="0"/>
    <x v="0"/>
  </r>
  <r>
    <n v="170"/>
    <x v="116"/>
    <s v="C1305"/>
    <x v="0"/>
    <x v="0"/>
    <n v="3"/>
    <n v="200"/>
    <n v="600"/>
    <n v="90"/>
    <n v="270"/>
    <n v="330"/>
    <x v="0"/>
    <x v="1"/>
    <x v="1"/>
    <n v="12.7"/>
    <n v="57.8"/>
    <n v="16.32"/>
    <n v="17.22"/>
    <n v="4.1900000000000004"/>
    <n v="8.14"/>
    <n v="2.06"/>
    <n v="0.6"/>
    <n v="210.97"/>
    <x v="2"/>
    <x v="1"/>
  </r>
  <r>
    <n v="171"/>
    <x v="74"/>
    <s v="C1284"/>
    <x v="5"/>
    <x v="0"/>
    <n v="2"/>
    <n v="250"/>
    <n v="500"/>
    <n v="110"/>
    <n v="220"/>
    <n v="280"/>
    <x v="3"/>
    <x v="0"/>
    <x v="4"/>
    <n v="34.81"/>
    <n v="33.22"/>
    <n v="16.62"/>
    <n v="2.17"/>
    <n v="0.45"/>
    <n v="12"/>
    <n v="3.21"/>
    <n v="2.5299999999999998"/>
    <n v="174.99"/>
    <x v="2"/>
    <x v="1"/>
  </r>
  <r>
    <n v="172"/>
    <x v="26"/>
    <s v="C1093"/>
    <x v="7"/>
    <x v="2"/>
    <n v="2"/>
    <n v="150"/>
    <n v="300"/>
    <n v="70"/>
    <n v="140"/>
    <n v="160"/>
    <x v="0"/>
    <x v="4"/>
    <x v="1"/>
    <n v="18.41"/>
    <n v="27.35"/>
    <n v="17.489999999999998"/>
    <n v="25.82"/>
    <n v="3.52"/>
    <n v="2.4"/>
    <n v="6.45"/>
    <n v="1.54"/>
    <n v="57.02"/>
    <x v="2"/>
    <x v="1"/>
  </r>
  <r>
    <n v="173"/>
    <x v="117"/>
    <s v="C1026"/>
    <x v="6"/>
    <x v="0"/>
    <n v="3"/>
    <n v="180"/>
    <n v="540"/>
    <n v="75"/>
    <n v="225"/>
    <n v="315"/>
    <x v="1"/>
    <x v="1"/>
    <x v="0"/>
    <n v="13.77"/>
    <n v="59.85"/>
    <n v="16.350000000000001"/>
    <n v="22.68"/>
    <n v="3.61"/>
    <n v="13.69"/>
    <n v="7.48"/>
    <n v="0.16"/>
    <n v="177.41"/>
    <x v="2"/>
    <x v="0"/>
  </r>
  <r>
    <n v="174"/>
    <x v="118"/>
    <s v="C1133"/>
    <x v="2"/>
    <x v="1"/>
    <n v="4"/>
    <n v="80"/>
    <n v="320"/>
    <n v="30"/>
    <n v="120"/>
    <n v="200"/>
    <x v="1"/>
    <x v="1"/>
    <x v="1"/>
    <n v="13.62"/>
    <n v="46.09"/>
    <n v="15.27"/>
    <n v="16.21"/>
    <n v="2.42"/>
    <n v="12.39"/>
    <n v="6.43"/>
    <n v="1.55"/>
    <n v="86.02"/>
    <x v="1"/>
    <x v="0"/>
  </r>
  <r>
    <n v="175"/>
    <x v="77"/>
    <s v="C1303"/>
    <x v="4"/>
    <x v="0"/>
    <n v="3"/>
    <n v="120"/>
    <n v="360"/>
    <n v="50"/>
    <n v="150"/>
    <n v="210"/>
    <x v="1"/>
    <x v="2"/>
    <x v="4"/>
    <n v="22.1"/>
    <n v="15.48"/>
    <n v="9.48"/>
    <n v="33.450000000000003"/>
    <n v="0.15"/>
    <n v="2.11"/>
    <n v="4.37"/>
    <n v="1.67"/>
    <n v="121.19"/>
    <x v="1"/>
    <x v="0"/>
  </r>
  <r>
    <n v="176"/>
    <x v="70"/>
    <s v="C1062"/>
    <x v="7"/>
    <x v="2"/>
    <n v="2"/>
    <n v="150"/>
    <n v="300"/>
    <n v="70"/>
    <n v="140"/>
    <n v="160"/>
    <x v="4"/>
    <x v="2"/>
    <x v="2"/>
    <n v="22.67"/>
    <n v="53.3"/>
    <n v="10.050000000000001"/>
    <n v="23.45"/>
    <n v="0.84"/>
    <n v="6.19"/>
    <n v="7.41"/>
    <n v="2.37"/>
    <n v="33.72"/>
    <x v="0"/>
    <x v="1"/>
  </r>
  <r>
    <n v="177"/>
    <x v="119"/>
    <s v="C1270"/>
    <x v="1"/>
    <x v="0"/>
    <n v="3"/>
    <n v="220"/>
    <n v="660"/>
    <n v="100"/>
    <n v="300"/>
    <n v="360"/>
    <x v="0"/>
    <x v="3"/>
    <x v="3"/>
    <n v="37.119999999999997"/>
    <n v="29.53"/>
    <n v="10.36"/>
    <n v="15.95"/>
    <n v="3.81"/>
    <n v="9.7200000000000006"/>
    <n v="5.51"/>
    <n v="0.51"/>
    <n v="247.49"/>
    <x v="1"/>
    <x v="1"/>
  </r>
  <r>
    <n v="178"/>
    <x v="0"/>
    <s v="C1275"/>
    <x v="1"/>
    <x v="0"/>
    <n v="3"/>
    <n v="220"/>
    <n v="660"/>
    <n v="100"/>
    <n v="300"/>
    <n v="360"/>
    <x v="0"/>
    <x v="1"/>
    <x v="2"/>
    <n v="15.06"/>
    <n v="25.19"/>
    <n v="17.829999999999998"/>
    <n v="27.66"/>
    <n v="2.48"/>
    <n v="10.16"/>
    <n v="7.47"/>
    <n v="0.36"/>
    <n v="253.79"/>
    <x v="0"/>
    <x v="0"/>
  </r>
  <r>
    <n v="179"/>
    <x v="43"/>
    <s v="C1301"/>
    <x v="0"/>
    <x v="0"/>
    <n v="2"/>
    <n v="200"/>
    <n v="400"/>
    <n v="90"/>
    <n v="180"/>
    <n v="220"/>
    <x v="2"/>
    <x v="0"/>
    <x v="0"/>
    <n v="39.11"/>
    <n v="24.7"/>
    <n v="12.55"/>
    <n v="10.19"/>
    <n v="2.63"/>
    <n v="12.67"/>
    <n v="6.04"/>
    <n v="2.67"/>
    <n v="109.44"/>
    <x v="1"/>
    <x v="1"/>
  </r>
  <r>
    <n v="180"/>
    <x v="52"/>
    <s v="C1230"/>
    <x v="2"/>
    <x v="1"/>
    <n v="4"/>
    <n v="80"/>
    <n v="320"/>
    <n v="30"/>
    <n v="120"/>
    <n v="200"/>
    <x v="3"/>
    <x v="1"/>
    <x v="5"/>
    <n v="28"/>
    <n v="53.48"/>
    <n v="5.4"/>
    <n v="32.020000000000003"/>
    <n v="4.3499999999999996"/>
    <n v="2.88"/>
    <n v="7.6"/>
    <n v="0.34"/>
    <n v="65.930000000000007"/>
    <x v="0"/>
    <x v="0"/>
  </r>
  <r>
    <n v="181"/>
    <x v="91"/>
    <s v="C1218"/>
    <x v="5"/>
    <x v="0"/>
    <n v="3"/>
    <n v="250"/>
    <n v="750"/>
    <n v="110"/>
    <n v="330"/>
    <n v="420"/>
    <x v="3"/>
    <x v="3"/>
    <x v="2"/>
    <n v="14.27"/>
    <n v="46.1"/>
    <n v="14.06"/>
    <n v="19.329999999999998"/>
    <n v="2.0499999999999998"/>
    <n v="10.58"/>
    <n v="5.36"/>
    <n v="0.24"/>
    <n v="308.01"/>
    <x v="1"/>
    <x v="0"/>
  </r>
  <r>
    <n v="182"/>
    <x v="57"/>
    <s v="C1051"/>
    <x v="6"/>
    <x v="0"/>
    <n v="3"/>
    <n v="180"/>
    <n v="540"/>
    <n v="75"/>
    <n v="225"/>
    <n v="315"/>
    <x v="0"/>
    <x v="4"/>
    <x v="1"/>
    <n v="26.98"/>
    <n v="23.44"/>
    <n v="7.52"/>
    <n v="25.37"/>
    <n v="3.33"/>
    <n v="14.18"/>
    <n v="5.72"/>
    <n v="2.23"/>
    <n v="206.23"/>
    <x v="0"/>
    <x v="1"/>
  </r>
  <r>
    <n v="183"/>
    <x v="120"/>
    <s v="C1314"/>
    <x v="0"/>
    <x v="0"/>
    <n v="2"/>
    <n v="200"/>
    <n v="400"/>
    <n v="90"/>
    <n v="180"/>
    <n v="220"/>
    <x v="2"/>
    <x v="0"/>
    <x v="5"/>
    <n v="27.7"/>
    <n v="31.74"/>
    <n v="18.18"/>
    <n v="18.989999999999998"/>
    <n v="2.92"/>
    <n v="7.87"/>
    <n v="7.65"/>
    <n v="0.52"/>
    <n v="104.43"/>
    <x v="1"/>
    <x v="0"/>
  </r>
  <r>
    <n v="184"/>
    <x v="102"/>
    <s v="C1130"/>
    <x v="0"/>
    <x v="0"/>
    <n v="4"/>
    <n v="200"/>
    <n v="800"/>
    <n v="90"/>
    <n v="360"/>
    <n v="440"/>
    <x v="3"/>
    <x v="0"/>
    <x v="2"/>
    <n v="10.42"/>
    <n v="44.04"/>
    <n v="10.91"/>
    <n v="6.55"/>
    <n v="0.34"/>
    <n v="14.99"/>
    <n v="7.74"/>
    <n v="2.42"/>
    <n v="342.59"/>
    <x v="2"/>
    <x v="0"/>
  </r>
  <r>
    <n v="185"/>
    <x v="81"/>
    <s v="C1179"/>
    <x v="6"/>
    <x v="0"/>
    <n v="1"/>
    <n v="180"/>
    <n v="180"/>
    <n v="75"/>
    <n v="75"/>
    <n v="105"/>
    <x v="4"/>
    <x v="1"/>
    <x v="2"/>
    <n v="31.48"/>
    <n v="40"/>
    <n v="9.0399999999999991"/>
    <n v="13.66"/>
    <n v="4.78"/>
    <n v="12.25"/>
    <n v="7.38"/>
    <n v="0.23"/>
    <n v="-13.82"/>
    <x v="1"/>
    <x v="0"/>
  </r>
  <r>
    <n v="186"/>
    <x v="117"/>
    <s v="C1276"/>
    <x v="6"/>
    <x v="0"/>
    <n v="2"/>
    <n v="180"/>
    <n v="360"/>
    <n v="75"/>
    <n v="150"/>
    <n v="210"/>
    <x v="1"/>
    <x v="1"/>
    <x v="5"/>
    <n v="39.630000000000003"/>
    <n v="41.09"/>
    <n v="13.52"/>
    <n v="10.18"/>
    <n v="3.78"/>
    <n v="5"/>
    <n v="3.64"/>
    <n v="0.06"/>
    <n v="93.1"/>
    <x v="0"/>
    <x v="1"/>
  </r>
  <r>
    <n v="187"/>
    <x v="121"/>
    <s v="C1311"/>
    <x v="2"/>
    <x v="1"/>
    <n v="4"/>
    <n v="80"/>
    <n v="320"/>
    <n v="30"/>
    <n v="120"/>
    <n v="200"/>
    <x v="4"/>
    <x v="3"/>
    <x v="3"/>
    <n v="19.91"/>
    <n v="37.770000000000003"/>
    <n v="7.54"/>
    <n v="13.49"/>
    <n v="2.8"/>
    <n v="6.2"/>
    <n v="7.62"/>
    <n v="2.2999999999999998"/>
    <n v="102.37"/>
    <x v="1"/>
    <x v="1"/>
  </r>
  <r>
    <n v="188"/>
    <x v="51"/>
    <s v="C1075"/>
    <x v="3"/>
    <x v="2"/>
    <n v="2"/>
    <n v="180"/>
    <n v="360"/>
    <n v="90"/>
    <n v="180"/>
    <n v="180"/>
    <x v="1"/>
    <x v="2"/>
    <x v="5"/>
    <n v="11.82"/>
    <n v="35.39"/>
    <n v="16.93"/>
    <n v="12.7"/>
    <n v="1.72"/>
    <n v="13.76"/>
    <n v="4.5999999999999996"/>
    <n v="0.88"/>
    <n v="82.2"/>
    <x v="0"/>
    <x v="1"/>
  </r>
  <r>
    <n v="189"/>
    <x v="56"/>
    <s v="C1222"/>
    <x v="4"/>
    <x v="0"/>
    <n v="1"/>
    <n v="120"/>
    <n v="120"/>
    <n v="50"/>
    <n v="50"/>
    <n v="70"/>
    <x v="3"/>
    <x v="1"/>
    <x v="5"/>
    <n v="25.77"/>
    <n v="57.53"/>
    <n v="16.59"/>
    <n v="8.0299999999999994"/>
    <n v="2.61"/>
    <n v="3.2"/>
    <n v="3.72"/>
    <n v="0.03"/>
    <n v="-47.48"/>
    <x v="0"/>
    <x v="0"/>
  </r>
  <r>
    <n v="190"/>
    <x v="122"/>
    <s v="C1056"/>
    <x v="7"/>
    <x v="2"/>
    <n v="4"/>
    <n v="150"/>
    <n v="600"/>
    <n v="70"/>
    <n v="280"/>
    <n v="320"/>
    <x v="0"/>
    <x v="4"/>
    <x v="2"/>
    <n v="11.41"/>
    <n v="26.77"/>
    <n v="19.600000000000001"/>
    <n v="16.53"/>
    <n v="4.5199999999999996"/>
    <n v="14.02"/>
    <n v="1.1000000000000001"/>
    <n v="2.0299999999999998"/>
    <n v="224.02"/>
    <x v="1"/>
    <x v="1"/>
  </r>
  <r>
    <n v="191"/>
    <x v="123"/>
    <s v="C1319"/>
    <x v="1"/>
    <x v="0"/>
    <n v="3"/>
    <n v="220"/>
    <n v="660"/>
    <n v="100"/>
    <n v="300"/>
    <n v="360"/>
    <x v="2"/>
    <x v="3"/>
    <x v="3"/>
    <n v="19.97"/>
    <n v="23.11"/>
    <n v="7.8"/>
    <n v="25.64"/>
    <n v="0.5"/>
    <n v="10.45"/>
    <n v="5.85"/>
    <n v="2.97"/>
    <n v="263.70999999999998"/>
    <x v="2"/>
    <x v="0"/>
  </r>
  <r>
    <n v="192"/>
    <x v="56"/>
    <s v="C1263"/>
    <x v="0"/>
    <x v="0"/>
    <n v="4"/>
    <n v="200"/>
    <n v="800"/>
    <n v="90"/>
    <n v="360"/>
    <n v="440"/>
    <x v="4"/>
    <x v="1"/>
    <x v="4"/>
    <n v="21.58"/>
    <n v="48.86"/>
    <n v="9.65"/>
    <n v="23.01"/>
    <n v="3.93"/>
    <n v="3.4"/>
    <n v="5.92"/>
    <n v="2.0299999999999998"/>
    <n v="321.62"/>
    <x v="0"/>
    <x v="0"/>
  </r>
  <r>
    <n v="193"/>
    <x v="124"/>
    <s v="C1005"/>
    <x v="0"/>
    <x v="0"/>
    <n v="3"/>
    <n v="200"/>
    <n v="600"/>
    <n v="90"/>
    <n v="270"/>
    <n v="330"/>
    <x v="2"/>
    <x v="0"/>
    <x v="0"/>
    <n v="23.89"/>
    <n v="43.38"/>
    <n v="19.899999999999999"/>
    <n v="34.159999999999997"/>
    <n v="0.35"/>
    <n v="6.68"/>
    <n v="3.37"/>
    <n v="1.22"/>
    <n v="197.05"/>
    <x v="2"/>
    <x v="0"/>
  </r>
  <r>
    <n v="194"/>
    <x v="78"/>
    <s v="C1219"/>
    <x v="4"/>
    <x v="0"/>
    <n v="2"/>
    <n v="120"/>
    <n v="240"/>
    <n v="50"/>
    <n v="100"/>
    <n v="140"/>
    <x v="4"/>
    <x v="2"/>
    <x v="4"/>
    <n v="10.75"/>
    <n v="21.21"/>
    <n v="16.05"/>
    <n v="7.51"/>
    <n v="3.09"/>
    <n v="3.45"/>
    <n v="2.17"/>
    <n v="0.13"/>
    <n v="75.64"/>
    <x v="0"/>
    <x v="0"/>
  </r>
  <r>
    <n v="195"/>
    <x v="52"/>
    <s v="C1134"/>
    <x v="3"/>
    <x v="2"/>
    <n v="2"/>
    <n v="180"/>
    <n v="360"/>
    <n v="90"/>
    <n v="180"/>
    <n v="180"/>
    <x v="0"/>
    <x v="0"/>
    <x v="1"/>
    <n v="32.590000000000003"/>
    <n v="15.36"/>
    <n v="19.45"/>
    <n v="23.32"/>
    <n v="1.82"/>
    <n v="5.48"/>
    <n v="3.56"/>
    <n v="1.65"/>
    <n v="76.77"/>
    <x v="0"/>
    <x v="1"/>
  </r>
  <r>
    <n v="196"/>
    <x v="57"/>
    <s v="C1033"/>
    <x v="7"/>
    <x v="2"/>
    <n v="2"/>
    <n v="150"/>
    <n v="300"/>
    <n v="70"/>
    <n v="140"/>
    <n v="160"/>
    <x v="2"/>
    <x v="0"/>
    <x v="3"/>
    <n v="37.72"/>
    <n v="25.68"/>
    <n v="9.5299999999999994"/>
    <n v="6.65"/>
    <n v="3.78"/>
    <n v="5.12"/>
    <n v="1.69"/>
    <n v="0.1"/>
    <n v="69.73"/>
    <x v="1"/>
    <x v="0"/>
  </r>
  <r>
    <n v="197"/>
    <x v="14"/>
    <s v="C1267"/>
    <x v="5"/>
    <x v="0"/>
    <n v="1"/>
    <n v="250"/>
    <n v="250"/>
    <n v="110"/>
    <n v="110"/>
    <n v="140"/>
    <x v="2"/>
    <x v="3"/>
    <x v="2"/>
    <n v="19.09"/>
    <n v="29.55"/>
    <n v="8.43"/>
    <n v="26.1"/>
    <n v="2.98"/>
    <n v="14.67"/>
    <n v="3.62"/>
    <n v="0.01"/>
    <n v="35.549999999999997"/>
    <x v="0"/>
    <x v="1"/>
  </r>
  <r>
    <n v="198"/>
    <x v="30"/>
    <s v="C1068"/>
    <x v="4"/>
    <x v="0"/>
    <n v="3"/>
    <n v="120"/>
    <n v="360"/>
    <n v="50"/>
    <n v="150"/>
    <n v="210"/>
    <x v="4"/>
    <x v="0"/>
    <x v="0"/>
    <n v="16.239999999999998"/>
    <n v="38.61"/>
    <n v="8.89"/>
    <n v="10.49"/>
    <n v="2.83"/>
    <n v="3.7"/>
    <n v="6.51"/>
    <n v="1.62"/>
    <n v="121.11"/>
    <x v="2"/>
    <x v="1"/>
  </r>
  <r>
    <n v="199"/>
    <x v="125"/>
    <s v="C1164"/>
    <x v="0"/>
    <x v="0"/>
    <n v="1"/>
    <n v="200"/>
    <n v="200"/>
    <n v="90"/>
    <n v="90"/>
    <n v="110"/>
    <x v="3"/>
    <x v="2"/>
    <x v="0"/>
    <n v="32.99"/>
    <n v="18.34"/>
    <n v="18.37"/>
    <n v="31.29"/>
    <n v="4.4400000000000004"/>
    <n v="14.31"/>
    <n v="7.5"/>
    <n v="1.98"/>
    <n v="-19.22"/>
    <x v="0"/>
    <x v="0"/>
  </r>
  <r>
    <n v="200"/>
    <x v="126"/>
    <s v="C1187"/>
    <x v="1"/>
    <x v="0"/>
    <n v="2"/>
    <n v="220"/>
    <n v="440"/>
    <n v="100"/>
    <n v="200"/>
    <n v="240"/>
    <x v="4"/>
    <x v="1"/>
    <x v="2"/>
    <n v="24.27"/>
    <n v="38.28"/>
    <n v="17.18"/>
    <n v="29.72"/>
    <n v="1.64"/>
    <n v="2.09"/>
    <n v="7.1"/>
    <n v="2.81"/>
    <n v="116.91"/>
    <x v="0"/>
    <x v="1"/>
  </r>
  <r>
    <n v="201"/>
    <x v="70"/>
    <s v="C1334"/>
    <x v="2"/>
    <x v="1"/>
    <n v="4"/>
    <n v="80"/>
    <n v="320"/>
    <n v="30"/>
    <n v="120"/>
    <n v="200"/>
    <x v="1"/>
    <x v="3"/>
    <x v="2"/>
    <n v="27.12"/>
    <n v="29.89"/>
    <n v="10.08"/>
    <n v="24.21"/>
    <n v="1.06"/>
    <n v="5.03"/>
    <n v="3.27"/>
    <n v="2.38"/>
    <n v="96.96"/>
    <x v="1"/>
    <x v="0"/>
  </r>
  <r>
    <n v="202"/>
    <x v="28"/>
    <s v="C1298"/>
    <x v="4"/>
    <x v="0"/>
    <n v="1"/>
    <n v="120"/>
    <n v="120"/>
    <n v="50"/>
    <n v="50"/>
    <n v="70"/>
    <x v="2"/>
    <x v="4"/>
    <x v="4"/>
    <n v="22.96"/>
    <n v="51.16"/>
    <n v="12.8"/>
    <n v="32.17"/>
    <n v="0.21"/>
    <n v="12.96"/>
    <n v="1.6"/>
    <n v="0.72"/>
    <n v="-64.58"/>
    <x v="2"/>
    <x v="1"/>
  </r>
  <r>
    <n v="203"/>
    <x v="127"/>
    <s v="C1147"/>
    <x v="5"/>
    <x v="0"/>
    <n v="1"/>
    <n v="250"/>
    <n v="250"/>
    <n v="110"/>
    <n v="110"/>
    <n v="140"/>
    <x v="0"/>
    <x v="4"/>
    <x v="1"/>
    <n v="28.13"/>
    <n v="29.58"/>
    <n v="16.57"/>
    <n v="5.14"/>
    <n v="2.0499999999999998"/>
    <n v="9.3800000000000008"/>
    <n v="6.07"/>
    <n v="1.59"/>
    <n v="41.49"/>
    <x v="1"/>
    <x v="0"/>
  </r>
  <r>
    <n v="204"/>
    <x v="33"/>
    <s v="C1146"/>
    <x v="2"/>
    <x v="1"/>
    <n v="3"/>
    <n v="80"/>
    <n v="240"/>
    <n v="30"/>
    <n v="90"/>
    <n v="150"/>
    <x v="3"/>
    <x v="1"/>
    <x v="5"/>
    <n v="23.95"/>
    <n v="50.51"/>
    <n v="17.68"/>
    <n v="18.54"/>
    <n v="4.09"/>
    <n v="4.59"/>
    <n v="6.31"/>
    <n v="0.82"/>
    <n v="23.51"/>
    <x v="2"/>
    <x v="0"/>
  </r>
  <r>
    <n v="205"/>
    <x v="128"/>
    <s v="C1192"/>
    <x v="1"/>
    <x v="0"/>
    <n v="1"/>
    <n v="220"/>
    <n v="220"/>
    <n v="100"/>
    <n v="100"/>
    <n v="120"/>
    <x v="4"/>
    <x v="3"/>
    <x v="2"/>
    <n v="34.659999999999997"/>
    <n v="42.54"/>
    <n v="8.26"/>
    <n v="8.85"/>
    <n v="1.29"/>
    <n v="12.36"/>
    <n v="2.59"/>
    <n v="0.62"/>
    <n v="8.83"/>
    <x v="0"/>
    <x v="0"/>
  </r>
  <r>
    <n v="206"/>
    <x v="129"/>
    <s v="C1238"/>
    <x v="6"/>
    <x v="0"/>
    <n v="4"/>
    <n v="180"/>
    <n v="720"/>
    <n v="75"/>
    <n v="300"/>
    <n v="420"/>
    <x v="4"/>
    <x v="0"/>
    <x v="5"/>
    <n v="25.19"/>
    <n v="43.84"/>
    <n v="15.13"/>
    <n v="25.78"/>
    <n v="4.76"/>
    <n v="8.1300000000000008"/>
    <n v="1.83"/>
    <n v="1.56"/>
    <n v="293.77999999999997"/>
    <x v="0"/>
    <x v="1"/>
  </r>
  <r>
    <n v="207"/>
    <x v="113"/>
    <s v="C1103"/>
    <x v="3"/>
    <x v="2"/>
    <n v="1"/>
    <n v="180"/>
    <n v="180"/>
    <n v="90"/>
    <n v="90"/>
    <n v="90"/>
    <x v="0"/>
    <x v="4"/>
    <x v="4"/>
    <n v="17.100000000000001"/>
    <n v="34.729999999999997"/>
    <n v="18.73"/>
    <n v="33.97"/>
    <n v="1.6"/>
    <n v="11.24"/>
    <n v="1.22"/>
    <n v="1.06"/>
    <n v="-29.65"/>
    <x v="2"/>
    <x v="1"/>
  </r>
  <r>
    <n v="208"/>
    <x v="130"/>
    <s v="C1201"/>
    <x v="2"/>
    <x v="1"/>
    <n v="1"/>
    <n v="80"/>
    <n v="80"/>
    <n v="30"/>
    <n v="30"/>
    <n v="50"/>
    <x v="4"/>
    <x v="1"/>
    <x v="5"/>
    <n v="33.1"/>
    <n v="16.27"/>
    <n v="5.64"/>
    <n v="12.64"/>
    <n v="1.43"/>
    <n v="6.88"/>
    <n v="6.71"/>
    <n v="0.28000000000000003"/>
    <n v="-32.950000000000003"/>
    <x v="2"/>
    <x v="1"/>
  </r>
  <r>
    <n v="209"/>
    <x v="77"/>
    <s v="C1123"/>
    <x v="7"/>
    <x v="2"/>
    <n v="3"/>
    <n v="150"/>
    <n v="450"/>
    <n v="70"/>
    <n v="210"/>
    <n v="240"/>
    <x v="4"/>
    <x v="2"/>
    <x v="0"/>
    <n v="26.23"/>
    <n v="28.3"/>
    <n v="15.68"/>
    <n v="24.35"/>
    <n v="1.8"/>
    <n v="13.15"/>
    <n v="5.79"/>
    <n v="0.35"/>
    <n v="124.35"/>
    <x v="2"/>
    <x v="0"/>
  </r>
  <r>
    <n v="210"/>
    <x v="96"/>
    <s v="C1301"/>
    <x v="2"/>
    <x v="1"/>
    <n v="3"/>
    <n v="80"/>
    <n v="240"/>
    <n v="30"/>
    <n v="90"/>
    <n v="150"/>
    <x v="1"/>
    <x v="1"/>
    <x v="1"/>
    <n v="24.46"/>
    <n v="32.36"/>
    <n v="6.01"/>
    <n v="18.78"/>
    <n v="1.82"/>
    <n v="2.5099999999999998"/>
    <n v="2.08"/>
    <n v="2.71"/>
    <n v="59.27"/>
    <x v="2"/>
    <x v="1"/>
  </r>
  <r>
    <n v="211"/>
    <x v="7"/>
    <s v="C1084"/>
    <x v="0"/>
    <x v="0"/>
    <n v="1"/>
    <n v="200"/>
    <n v="200"/>
    <n v="90"/>
    <n v="90"/>
    <n v="110"/>
    <x v="2"/>
    <x v="2"/>
    <x v="1"/>
    <n v="36.15"/>
    <n v="33.97"/>
    <n v="12.27"/>
    <n v="26.23"/>
    <n v="2.92"/>
    <n v="3.07"/>
    <n v="1.34"/>
    <n v="2.5099999999999998"/>
    <n v="-8.4600000000000009"/>
    <x v="0"/>
    <x v="0"/>
  </r>
  <r>
    <n v="212"/>
    <x v="60"/>
    <s v="C1091"/>
    <x v="3"/>
    <x v="2"/>
    <n v="4"/>
    <n v="180"/>
    <n v="720"/>
    <n v="90"/>
    <n v="360"/>
    <n v="360"/>
    <x v="4"/>
    <x v="3"/>
    <x v="5"/>
    <n v="34.56"/>
    <n v="20.86"/>
    <n v="16.95"/>
    <n v="2.0299999999999998"/>
    <n v="1.07"/>
    <n v="7.39"/>
    <n v="6.74"/>
    <n v="2.63"/>
    <n v="267.77"/>
    <x v="1"/>
    <x v="1"/>
  </r>
  <r>
    <n v="213"/>
    <x v="131"/>
    <s v="C1102"/>
    <x v="6"/>
    <x v="0"/>
    <n v="2"/>
    <n v="180"/>
    <n v="360"/>
    <n v="75"/>
    <n v="150"/>
    <n v="210"/>
    <x v="0"/>
    <x v="4"/>
    <x v="2"/>
    <n v="37.18"/>
    <n v="16.55"/>
    <n v="12.04"/>
    <n v="5.13"/>
    <n v="2.44"/>
    <n v="6.34"/>
    <n v="2.67"/>
    <n v="0.08"/>
    <n v="127.57"/>
    <x v="2"/>
    <x v="1"/>
  </r>
  <r>
    <n v="214"/>
    <x v="132"/>
    <s v="C1015"/>
    <x v="6"/>
    <x v="0"/>
    <n v="4"/>
    <n v="180"/>
    <n v="720"/>
    <n v="75"/>
    <n v="300"/>
    <n v="420"/>
    <x v="2"/>
    <x v="3"/>
    <x v="5"/>
    <n v="14.73"/>
    <n v="29.13"/>
    <n v="10.76"/>
    <n v="18.57"/>
    <n v="3.01"/>
    <n v="5.04"/>
    <n v="4.09"/>
    <n v="2.44"/>
    <n v="332.23"/>
    <x v="2"/>
    <x v="1"/>
  </r>
  <r>
    <n v="215"/>
    <x v="36"/>
    <s v="C1025"/>
    <x v="3"/>
    <x v="2"/>
    <n v="4"/>
    <n v="180"/>
    <n v="720"/>
    <n v="90"/>
    <n v="360"/>
    <n v="360"/>
    <x v="4"/>
    <x v="4"/>
    <x v="5"/>
    <n v="35.32"/>
    <n v="47.4"/>
    <n v="18.670000000000002"/>
    <n v="17.899999999999999"/>
    <n v="1.1000000000000001"/>
    <n v="9.7899999999999991"/>
    <n v="6.26"/>
    <n v="1.48"/>
    <n v="222.08"/>
    <x v="0"/>
    <x v="1"/>
  </r>
  <r>
    <n v="216"/>
    <x v="48"/>
    <s v="C1184"/>
    <x v="4"/>
    <x v="0"/>
    <n v="4"/>
    <n v="120"/>
    <n v="480"/>
    <n v="50"/>
    <n v="200"/>
    <n v="280"/>
    <x v="3"/>
    <x v="3"/>
    <x v="4"/>
    <n v="20.62"/>
    <n v="16.760000000000002"/>
    <n v="14.14"/>
    <n v="1.36"/>
    <n v="2.99"/>
    <n v="11.54"/>
    <n v="6.36"/>
    <n v="1.1100000000000001"/>
    <n v="205.12"/>
    <x v="1"/>
    <x v="0"/>
  </r>
  <r>
    <n v="217"/>
    <x v="106"/>
    <s v="C1052"/>
    <x v="4"/>
    <x v="0"/>
    <n v="4"/>
    <n v="120"/>
    <n v="480"/>
    <n v="50"/>
    <n v="200"/>
    <n v="280"/>
    <x v="0"/>
    <x v="2"/>
    <x v="0"/>
    <n v="25.16"/>
    <n v="24.3"/>
    <n v="14.7"/>
    <n v="32.19"/>
    <n v="2.93"/>
    <n v="10.96"/>
    <n v="3.58"/>
    <n v="0.68"/>
    <n v="165.5"/>
    <x v="1"/>
    <x v="1"/>
  </r>
  <r>
    <n v="218"/>
    <x v="133"/>
    <s v="C1212"/>
    <x v="3"/>
    <x v="2"/>
    <n v="2"/>
    <n v="180"/>
    <n v="360"/>
    <n v="90"/>
    <n v="180"/>
    <n v="180"/>
    <x v="0"/>
    <x v="4"/>
    <x v="2"/>
    <n v="23.15"/>
    <n v="18.45"/>
    <n v="19.27"/>
    <n v="21.7"/>
    <n v="1.1299999999999999"/>
    <n v="14.71"/>
    <n v="6.49"/>
    <n v="2.11"/>
    <n v="72.989999999999995"/>
    <x v="2"/>
    <x v="0"/>
  </r>
  <r>
    <n v="219"/>
    <x v="63"/>
    <s v="C1116"/>
    <x v="4"/>
    <x v="0"/>
    <n v="3"/>
    <n v="120"/>
    <n v="360"/>
    <n v="50"/>
    <n v="150"/>
    <n v="210"/>
    <x v="1"/>
    <x v="4"/>
    <x v="5"/>
    <n v="17.43"/>
    <n v="59.73"/>
    <n v="12.4"/>
    <n v="13.91"/>
    <n v="1.44"/>
    <n v="4.97"/>
    <n v="6.47"/>
    <n v="2.41"/>
    <n v="91.24"/>
    <x v="2"/>
    <x v="1"/>
  </r>
  <r>
    <n v="220"/>
    <x v="2"/>
    <s v="C1027"/>
    <x v="1"/>
    <x v="0"/>
    <n v="3"/>
    <n v="220"/>
    <n v="660"/>
    <n v="100"/>
    <n v="300"/>
    <n v="360"/>
    <x v="2"/>
    <x v="1"/>
    <x v="5"/>
    <n v="12.72"/>
    <n v="23.01"/>
    <n v="6.92"/>
    <n v="22.91"/>
    <n v="0.32"/>
    <n v="11.34"/>
    <n v="2.09"/>
    <n v="0.57999999999999996"/>
    <n v="280.11"/>
    <x v="1"/>
    <x v="0"/>
  </r>
  <r>
    <n v="221"/>
    <x v="105"/>
    <s v="C1231"/>
    <x v="6"/>
    <x v="0"/>
    <n v="3"/>
    <n v="180"/>
    <n v="540"/>
    <n v="75"/>
    <n v="225"/>
    <n v="315"/>
    <x v="4"/>
    <x v="3"/>
    <x v="4"/>
    <n v="33.130000000000003"/>
    <n v="31.01"/>
    <n v="15.32"/>
    <n v="20.55"/>
    <n v="3.78"/>
    <n v="11.96"/>
    <n v="3.26"/>
    <n v="0.02"/>
    <n v="195.97"/>
    <x v="1"/>
    <x v="0"/>
  </r>
  <r>
    <n v="222"/>
    <x v="74"/>
    <s v="C1053"/>
    <x v="1"/>
    <x v="0"/>
    <n v="2"/>
    <n v="220"/>
    <n v="440"/>
    <n v="100"/>
    <n v="200"/>
    <n v="240"/>
    <x v="3"/>
    <x v="4"/>
    <x v="3"/>
    <n v="22.51"/>
    <n v="23.33"/>
    <n v="16.559999999999999"/>
    <n v="22.79"/>
    <n v="1.56"/>
    <n v="3.64"/>
    <n v="5.27"/>
    <n v="2.56"/>
    <n v="141.78"/>
    <x v="2"/>
    <x v="1"/>
  </r>
  <r>
    <n v="223"/>
    <x v="77"/>
    <s v="C1140"/>
    <x v="4"/>
    <x v="0"/>
    <n v="3"/>
    <n v="120"/>
    <n v="360"/>
    <n v="50"/>
    <n v="150"/>
    <n v="210"/>
    <x v="4"/>
    <x v="1"/>
    <x v="0"/>
    <n v="36.53"/>
    <n v="45.79"/>
    <n v="7.48"/>
    <n v="23.03"/>
    <n v="2.0099999999999998"/>
    <n v="9.99"/>
    <n v="5.44"/>
    <n v="1.1599999999999999"/>
    <n v="78.569999999999993"/>
    <x v="0"/>
    <x v="1"/>
  </r>
  <r>
    <n v="224"/>
    <x v="80"/>
    <s v="C1201"/>
    <x v="1"/>
    <x v="0"/>
    <n v="3"/>
    <n v="220"/>
    <n v="660"/>
    <n v="100"/>
    <n v="300"/>
    <n v="360"/>
    <x v="1"/>
    <x v="1"/>
    <x v="2"/>
    <n v="28.07"/>
    <n v="44.11"/>
    <n v="8.17"/>
    <n v="22.4"/>
    <n v="0.41"/>
    <n v="9.49"/>
    <n v="7.62"/>
    <n v="2.64"/>
    <n v="237.09"/>
    <x v="0"/>
    <x v="0"/>
  </r>
  <r>
    <n v="225"/>
    <x v="60"/>
    <s v="C1149"/>
    <x v="5"/>
    <x v="0"/>
    <n v="1"/>
    <n v="250"/>
    <n v="250"/>
    <n v="110"/>
    <n v="110"/>
    <n v="140"/>
    <x v="4"/>
    <x v="2"/>
    <x v="1"/>
    <n v="22.13"/>
    <n v="44.35"/>
    <n v="5.29"/>
    <n v="4.75"/>
    <n v="3.33"/>
    <n v="11.63"/>
    <n v="1.0900000000000001"/>
    <n v="0.05"/>
    <n v="47.38"/>
    <x v="2"/>
    <x v="1"/>
  </r>
  <r>
    <n v="226"/>
    <x v="103"/>
    <s v="C1271"/>
    <x v="6"/>
    <x v="0"/>
    <n v="1"/>
    <n v="180"/>
    <n v="180"/>
    <n v="75"/>
    <n v="75"/>
    <n v="105"/>
    <x v="1"/>
    <x v="1"/>
    <x v="2"/>
    <n v="18.16"/>
    <n v="45.6"/>
    <n v="10.67"/>
    <n v="10.64"/>
    <n v="3.07"/>
    <n v="3.94"/>
    <n v="7.63"/>
    <n v="0.57999999999999996"/>
    <n v="4.71"/>
    <x v="1"/>
    <x v="0"/>
  </r>
  <r>
    <n v="227"/>
    <x v="47"/>
    <s v="C1179"/>
    <x v="6"/>
    <x v="0"/>
    <n v="2"/>
    <n v="180"/>
    <n v="360"/>
    <n v="75"/>
    <n v="150"/>
    <n v="210"/>
    <x v="1"/>
    <x v="1"/>
    <x v="0"/>
    <n v="26.07"/>
    <n v="29.29"/>
    <n v="5.2"/>
    <n v="1.61"/>
    <n v="1.98"/>
    <n v="12.02"/>
    <n v="4.3"/>
    <n v="2.4300000000000002"/>
    <n v="127.1"/>
    <x v="1"/>
    <x v="1"/>
  </r>
  <r>
    <n v="228"/>
    <x v="25"/>
    <s v="C1031"/>
    <x v="7"/>
    <x v="2"/>
    <n v="4"/>
    <n v="150"/>
    <n v="600"/>
    <n v="70"/>
    <n v="280"/>
    <n v="320"/>
    <x v="4"/>
    <x v="4"/>
    <x v="1"/>
    <n v="38.729999999999997"/>
    <n v="27.75"/>
    <n v="7.67"/>
    <n v="2.72"/>
    <n v="2.99"/>
    <n v="8.0299999999999994"/>
    <n v="6.03"/>
    <n v="2.56"/>
    <n v="223.52"/>
    <x v="1"/>
    <x v="1"/>
  </r>
  <r>
    <n v="229"/>
    <x v="54"/>
    <s v="C1164"/>
    <x v="0"/>
    <x v="0"/>
    <n v="3"/>
    <n v="200"/>
    <n v="600"/>
    <n v="90"/>
    <n v="270"/>
    <n v="330"/>
    <x v="2"/>
    <x v="2"/>
    <x v="5"/>
    <n v="36.57"/>
    <n v="53.7"/>
    <n v="8.19"/>
    <n v="13.57"/>
    <n v="1.27"/>
    <n v="2.0099999999999998"/>
    <n v="4.6399999999999997"/>
    <n v="0.33"/>
    <n v="209.72"/>
    <x v="1"/>
    <x v="1"/>
  </r>
  <r>
    <n v="230"/>
    <x v="38"/>
    <s v="C1213"/>
    <x v="3"/>
    <x v="2"/>
    <n v="4"/>
    <n v="180"/>
    <n v="720"/>
    <n v="90"/>
    <n v="360"/>
    <n v="360"/>
    <x v="0"/>
    <x v="3"/>
    <x v="4"/>
    <n v="37.51"/>
    <n v="26.3"/>
    <n v="18.760000000000002"/>
    <n v="8.66"/>
    <n v="4.32"/>
    <n v="5.61"/>
    <n v="3.3"/>
    <n v="1.67"/>
    <n v="253.87"/>
    <x v="1"/>
    <x v="0"/>
  </r>
  <r>
    <n v="231"/>
    <x v="91"/>
    <s v="C1341"/>
    <x v="1"/>
    <x v="0"/>
    <n v="3"/>
    <n v="220"/>
    <n v="660"/>
    <n v="100"/>
    <n v="300"/>
    <n v="360"/>
    <x v="1"/>
    <x v="4"/>
    <x v="0"/>
    <n v="23.48"/>
    <n v="19.12"/>
    <n v="18.149999999999999"/>
    <n v="3.89"/>
    <n v="0.8"/>
    <n v="13.89"/>
    <n v="6.4"/>
    <n v="0.2"/>
    <n v="274.07"/>
    <x v="1"/>
    <x v="0"/>
  </r>
  <r>
    <n v="232"/>
    <x v="107"/>
    <s v="C1340"/>
    <x v="6"/>
    <x v="0"/>
    <n v="2"/>
    <n v="180"/>
    <n v="360"/>
    <n v="75"/>
    <n v="150"/>
    <n v="210"/>
    <x v="2"/>
    <x v="3"/>
    <x v="4"/>
    <n v="10.31"/>
    <n v="30.79"/>
    <n v="16.27"/>
    <n v="10.029999999999999"/>
    <n v="1.6"/>
    <n v="8.39"/>
    <n v="5.85"/>
    <n v="2.79"/>
    <n v="123.97"/>
    <x v="1"/>
    <x v="1"/>
  </r>
  <r>
    <n v="233"/>
    <x v="106"/>
    <s v="C1121"/>
    <x v="5"/>
    <x v="0"/>
    <n v="3"/>
    <n v="250"/>
    <n v="750"/>
    <n v="110"/>
    <n v="330"/>
    <n v="420"/>
    <x v="4"/>
    <x v="4"/>
    <x v="5"/>
    <n v="29.31"/>
    <n v="50.04"/>
    <n v="14.55"/>
    <n v="32.17"/>
    <n v="4.1399999999999997"/>
    <n v="12.78"/>
    <n v="2.99"/>
    <n v="2.74"/>
    <n v="271.27999999999997"/>
    <x v="0"/>
    <x v="1"/>
  </r>
  <r>
    <n v="234"/>
    <x v="49"/>
    <s v="C1216"/>
    <x v="6"/>
    <x v="0"/>
    <n v="3"/>
    <n v="180"/>
    <n v="540"/>
    <n v="75"/>
    <n v="225"/>
    <n v="315"/>
    <x v="0"/>
    <x v="3"/>
    <x v="5"/>
    <n v="18.760000000000002"/>
    <n v="48.58"/>
    <n v="5.3"/>
    <n v="32.61"/>
    <n v="1.17"/>
    <n v="14.68"/>
    <n v="7.9"/>
    <n v="0.55000000000000004"/>
    <n v="185.45"/>
    <x v="1"/>
    <x v="1"/>
  </r>
  <r>
    <n v="235"/>
    <x v="100"/>
    <s v="C1028"/>
    <x v="4"/>
    <x v="0"/>
    <n v="1"/>
    <n v="120"/>
    <n v="120"/>
    <n v="50"/>
    <n v="50"/>
    <n v="70"/>
    <x v="4"/>
    <x v="0"/>
    <x v="5"/>
    <n v="38.19"/>
    <n v="40.090000000000003"/>
    <n v="15.63"/>
    <n v="4.79"/>
    <n v="3.49"/>
    <n v="5.28"/>
    <n v="3.28"/>
    <n v="2.79"/>
    <n v="-43.54"/>
    <x v="1"/>
    <x v="0"/>
  </r>
  <r>
    <n v="236"/>
    <x v="103"/>
    <s v="C1073"/>
    <x v="0"/>
    <x v="0"/>
    <n v="2"/>
    <n v="200"/>
    <n v="400"/>
    <n v="90"/>
    <n v="180"/>
    <n v="220"/>
    <x v="4"/>
    <x v="1"/>
    <x v="5"/>
    <n v="32.92"/>
    <n v="33.99"/>
    <n v="19.28"/>
    <n v="25.03"/>
    <n v="0.71"/>
    <n v="4.88"/>
    <n v="7.97"/>
    <n v="1.43"/>
    <n v="93.79"/>
    <x v="0"/>
    <x v="1"/>
  </r>
  <r>
    <n v="237"/>
    <x v="58"/>
    <s v="C1311"/>
    <x v="2"/>
    <x v="1"/>
    <n v="1"/>
    <n v="80"/>
    <n v="80"/>
    <n v="30"/>
    <n v="30"/>
    <n v="50"/>
    <x v="2"/>
    <x v="1"/>
    <x v="0"/>
    <n v="25.58"/>
    <n v="40.4"/>
    <n v="8.51"/>
    <n v="8.11"/>
    <n v="3.01"/>
    <n v="3.44"/>
    <n v="4.47"/>
    <n v="2.5"/>
    <n v="-46.02"/>
    <x v="2"/>
    <x v="1"/>
  </r>
  <r>
    <n v="238"/>
    <x v="134"/>
    <s v="C1191"/>
    <x v="5"/>
    <x v="0"/>
    <n v="4"/>
    <n v="250"/>
    <n v="1000"/>
    <n v="110"/>
    <n v="440"/>
    <n v="560"/>
    <x v="1"/>
    <x v="4"/>
    <x v="1"/>
    <n v="20.22"/>
    <n v="17.79"/>
    <n v="7.84"/>
    <n v="3.35"/>
    <n v="1.39"/>
    <n v="12.27"/>
    <n v="6.3"/>
    <n v="0.43"/>
    <n v="490.41"/>
    <x v="0"/>
    <x v="1"/>
  </r>
  <r>
    <n v="239"/>
    <x v="106"/>
    <s v="C1236"/>
    <x v="1"/>
    <x v="0"/>
    <n v="1"/>
    <n v="220"/>
    <n v="220"/>
    <n v="100"/>
    <n v="100"/>
    <n v="120"/>
    <x v="2"/>
    <x v="0"/>
    <x v="3"/>
    <n v="25.42"/>
    <n v="41.14"/>
    <n v="7.5"/>
    <n v="19.690000000000001"/>
    <n v="0.71"/>
    <n v="14.04"/>
    <n v="4.32"/>
    <n v="1.55"/>
    <n v="5.63"/>
    <x v="2"/>
    <x v="0"/>
  </r>
  <r>
    <n v="240"/>
    <x v="62"/>
    <s v="C1328"/>
    <x v="6"/>
    <x v="0"/>
    <n v="3"/>
    <n v="180"/>
    <n v="540"/>
    <n v="75"/>
    <n v="225"/>
    <n v="315"/>
    <x v="0"/>
    <x v="3"/>
    <x v="3"/>
    <n v="36.71"/>
    <n v="59.4"/>
    <n v="17.95"/>
    <n v="22.24"/>
    <n v="1.93"/>
    <n v="12.49"/>
    <n v="6.92"/>
    <n v="2.52"/>
    <n v="154.84"/>
    <x v="0"/>
    <x v="1"/>
  </r>
  <r>
    <n v="241"/>
    <x v="21"/>
    <s v="C1061"/>
    <x v="1"/>
    <x v="0"/>
    <n v="3"/>
    <n v="220"/>
    <n v="660"/>
    <n v="100"/>
    <n v="300"/>
    <n v="360"/>
    <x v="2"/>
    <x v="4"/>
    <x v="1"/>
    <n v="14.54"/>
    <n v="46.97"/>
    <n v="6"/>
    <n v="17.690000000000001"/>
    <n v="2.95"/>
    <n v="11.84"/>
    <n v="2.95"/>
    <n v="2.08"/>
    <n v="254.98"/>
    <x v="2"/>
    <x v="0"/>
  </r>
  <r>
    <n v="242"/>
    <x v="57"/>
    <s v="C1350"/>
    <x v="6"/>
    <x v="0"/>
    <n v="4"/>
    <n v="180"/>
    <n v="720"/>
    <n v="75"/>
    <n v="300"/>
    <n v="420"/>
    <x v="4"/>
    <x v="0"/>
    <x v="4"/>
    <n v="37.71"/>
    <n v="54.03"/>
    <n v="18.309999999999999"/>
    <n v="32.24"/>
    <n v="2.2599999999999998"/>
    <n v="9.24"/>
    <n v="6.86"/>
    <n v="1.47"/>
    <n v="257.88"/>
    <x v="0"/>
    <x v="1"/>
  </r>
  <r>
    <n v="243"/>
    <x v="127"/>
    <s v="C1235"/>
    <x v="2"/>
    <x v="1"/>
    <n v="1"/>
    <n v="80"/>
    <n v="80"/>
    <n v="30"/>
    <n v="30"/>
    <n v="50"/>
    <x v="2"/>
    <x v="4"/>
    <x v="0"/>
    <n v="31.88"/>
    <n v="47.77"/>
    <n v="12.97"/>
    <n v="1.93"/>
    <n v="2.42"/>
    <n v="11.21"/>
    <n v="5.64"/>
    <n v="2.71"/>
    <n v="-66.53"/>
    <x v="2"/>
    <x v="1"/>
  </r>
  <r>
    <n v="244"/>
    <x v="95"/>
    <s v="C1247"/>
    <x v="3"/>
    <x v="2"/>
    <n v="4"/>
    <n v="180"/>
    <n v="720"/>
    <n v="90"/>
    <n v="360"/>
    <n v="360"/>
    <x v="0"/>
    <x v="4"/>
    <x v="3"/>
    <n v="10.26"/>
    <n v="18.170000000000002"/>
    <n v="17.87"/>
    <n v="32.32"/>
    <n v="4.9000000000000004"/>
    <n v="9.76"/>
    <n v="4.4400000000000004"/>
    <n v="1.78"/>
    <n v="260.5"/>
    <x v="0"/>
    <x v="0"/>
  </r>
  <r>
    <n v="245"/>
    <x v="58"/>
    <s v="C1052"/>
    <x v="5"/>
    <x v="0"/>
    <n v="2"/>
    <n v="250"/>
    <n v="500"/>
    <n v="110"/>
    <n v="220"/>
    <n v="280"/>
    <x v="4"/>
    <x v="2"/>
    <x v="3"/>
    <n v="27.16"/>
    <n v="56.15"/>
    <n v="14.31"/>
    <n v="3.87"/>
    <n v="4.55"/>
    <n v="14.83"/>
    <n v="4.54"/>
    <n v="1.54"/>
    <n v="153.05000000000001"/>
    <x v="2"/>
    <x v="0"/>
  </r>
  <r>
    <n v="246"/>
    <x v="56"/>
    <s v="C1170"/>
    <x v="6"/>
    <x v="0"/>
    <n v="1"/>
    <n v="180"/>
    <n v="180"/>
    <n v="75"/>
    <n v="75"/>
    <n v="105"/>
    <x v="3"/>
    <x v="1"/>
    <x v="1"/>
    <n v="12.94"/>
    <n v="41.45"/>
    <n v="12.68"/>
    <n v="4.09"/>
    <n v="4.2"/>
    <n v="7.13"/>
    <n v="3.82"/>
    <n v="0.52"/>
    <n v="18.170000000000002"/>
    <x v="2"/>
    <x v="0"/>
  </r>
  <r>
    <n v="247"/>
    <x v="38"/>
    <s v="C1105"/>
    <x v="7"/>
    <x v="2"/>
    <n v="4"/>
    <n v="150"/>
    <n v="600"/>
    <n v="70"/>
    <n v="280"/>
    <n v="320"/>
    <x v="4"/>
    <x v="1"/>
    <x v="0"/>
    <n v="18.739999999999998"/>
    <n v="53.17"/>
    <n v="7.51"/>
    <n v="10.55"/>
    <n v="0.64"/>
    <n v="9.02"/>
    <n v="3.06"/>
    <n v="1.05"/>
    <n v="216.26"/>
    <x v="2"/>
    <x v="1"/>
  </r>
  <r>
    <n v="248"/>
    <x v="3"/>
    <s v="C1310"/>
    <x v="2"/>
    <x v="1"/>
    <n v="1"/>
    <n v="80"/>
    <n v="80"/>
    <n v="30"/>
    <n v="30"/>
    <n v="50"/>
    <x v="3"/>
    <x v="2"/>
    <x v="5"/>
    <n v="19.09"/>
    <n v="32.96"/>
    <n v="9.98"/>
    <n v="28.44"/>
    <n v="4.29"/>
    <n v="6.64"/>
    <n v="4.88"/>
    <n v="1.28"/>
    <n v="-57.56"/>
    <x v="1"/>
    <x v="0"/>
  </r>
  <r>
    <n v="249"/>
    <x v="37"/>
    <s v="C1144"/>
    <x v="6"/>
    <x v="0"/>
    <n v="1"/>
    <n v="180"/>
    <n v="180"/>
    <n v="75"/>
    <n v="75"/>
    <n v="105"/>
    <x v="3"/>
    <x v="4"/>
    <x v="3"/>
    <n v="34.25"/>
    <n v="24.51"/>
    <n v="15.53"/>
    <n v="3.41"/>
    <n v="4.25"/>
    <n v="7.42"/>
    <n v="1.01"/>
    <n v="0.14000000000000001"/>
    <n v="14.48"/>
    <x v="2"/>
    <x v="0"/>
  </r>
  <r>
    <n v="250"/>
    <x v="17"/>
    <s v="C1132"/>
    <x v="2"/>
    <x v="1"/>
    <n v="1"/>
    <n v="80"/>
    <n v="80"/>
    <n v="30"/>
    <n v="30"/>
    <n v="50"/>
    <x v="0"/>
    <x v="3"/>
    <x v="4"/>
    <n v="23.05"/>
    <n v="46.51"/>
    <n v="7.34"/>
    <n v="8.64"/>
    <n v="0.88"/>
    <n v="12.75"/>
    <n v="2.69"/>
    <n v="2.4300000000000002"/>
    <n v="-54.29"/>
    <x v="1"/>
    <x v="1"/>
  </r>
  <r>
    <n v="251"/>
    <x v="111"/>
    <s v="C1273"/>
    <x v="0"/>
    <x v="0"/>
    <n v="3"/>
    <n v="200"/>
    <n v="600"/>
    <n v="90"/>
    <n v="270"/>
    <n v="330"/>
    <x v="0"/>
    <x v="4"/>
    <x v="4"/>
    <n v="17.82"/>
    <n v="52.04"/>
    <n v="14.88"/>
    <n v="16.05"/>
    <n v="1.81"/>
    <n v="3.66"/>
    <n v="6.92"/>
    <n v="1.82"/>
    <n v="215"/>
    <x v="2"/>
    <x v="0"/>
  </r>
  <r>
    <n v="252"/>
    <x v="135"/>
    <s v="C1280"/>
    <x v="5"/>
    <x v="0"/>
    <n v="1"/>
    <n v="250"/>
    <n v="250"/>
    <n v="110"/>
    <n v="110"/>
    <n v="140"/>
    <x v="1"/>
    <x v="1"/>
    <x v="5"/>
    <n v="23.53"/>
    <n v="19.34"/>
    <n v="7.31"/>
    <n v="16.14"/>
    <n v="0.56000000000000005"/>
    <n v="10.46"/>
    <n v="5.8"/>
    <n v="2.2400000000000002"/>
    <n v="54.62"/>
    <x v="2"/>
    <x v="0"/>
  </r>
  <r>
    <n v="253"/>
    <x v="79"/>
    <s v="C1035"/>
    <x v="7"/>
    <x v="2"/>
    <n v="4"/>
    <n v="150"/>
    <n v="600"/>
    <n v="70"/>
    <n v="280"/>
    <n v="320"/>
    <x v="1"/>
    <x v="4"/>
    <x v="5"/>
    <n v="27.77"/>
    <n v="42.13"/>
    <n v="9.2200000000000006"/>
    <n v="14.1"/>
    <n v="4.58"/>
    <n v="10.09"/>
    <n v="7.18"/>
    <n v="1.6"/>
    <n v="203.33"/>
    <x v="0"/>
    <x v="0"/>
  </r>
  <r>
    <n v="254"/>
    <x v="7"/>
    <s v="C1148"/>
    <x v="4"/>
    <x v="0"/>
    <n v="1"/>
    <n v="120"/>
    <n v="120"/>
    <n v="50"/>
    <n v="50"/>
    <n v="70"/>
    <x v="1"/>
    <x v="2"/>
    <x v="4"/>
    <n v="38.33"/>
    <n v="54.85"/>
    <n v="14.69"/>
    <n v="15.18"/>
    <n v="0.69"/>
    <n v="7.49"/>
    <n v="1.79"/>
    <n v="2.78"/>
    <n v="-65.8"/>
    <x v="0"/>
    <x v="0"/>
  </r>
  <r>
    <n v="255"/>
    <x v="20"/>
    <s v="C1330"/>
    <x v="7"/>
    <x v="2"/>
    <n v="3"/>
    <n v="150"/>
    <n v="450"/>
    <n v="70"/>
    <n v="210"/>
    <n v="240"/>
    <x v="3"/>
    <x v="0"/>
    <x v="3"/>
    <n v="10.63"/>
    <n v="58.02"/>
    <n v="16.25"/>
    <n v="16.59"/>
    <n v="4.42"/>
    <n v="4.8499999999999996"/>
    <n v="4.71"/>
    <n v="2.15"/>
    <n v="122.38"/>
    <x v="2"/>
    <x v="1"/>
  </r>
  <r>
    <n v="256"/>
    <x v="25"/>
    <s v="C1055"/>
    <x v="7"/>
    <x v="2"/>
    <n v="4"/>
    <n v="150"/>
    <n v="600"/>
    <n v="70"/>
    <n v="280"/>
    <n v="320"/>
    <x v="0"/>
    <x v="4"/>
    <x v="1"/>
    <n v="12.87"/>
    <n v="32.020000000000003"/>
    <n v="10.220000000000001"/>
    <n v="6.41"/>
    <n v="0.71"/>
    <n v="7.33"/>
    <n v="2.76"/>
    <n v="1.6"/>
    <n v="246.08"/>
    <x v="2"/>
    <x v="1"/>
  </r>
  <r>
    <n v="257"/>
    <x v="109"/>
    <s v="C1051"/>
    <x v="6"/>
    <x v="0"/>
    <n v="2"/>
    <n v="180"/>
    <n v="360"/>
    <n v="75"/>
    <n v="150"/>
    <n v="210"/>
    <x v="2"/>
    <x v="4"/>
    <x v="5"/>
    <n v="39.65"/>
    <n v="44.19"/>
    <n v="5.61"/>
    <n v="32.729999999999997"/>
    <n v="1.75"/>
    <n v="3.41"/>
    <n v="6.98"/>
    <n v="1.21"/>
    <n v="74.47"/>
    <x v="0"/>
    <x v="0"/>
  </r>
  <r>
    <n v="258"/>
    <x v="49"/>
    <s v="C1142"/>
    <x v="3"/>
    <x v="2"/>
    <n v="2"/>
    <n v="180"/>
    <n v="360"/>
    <n v="90"/>
    <n v="180"/>
    <n v="180"/>
    <x v="4"/>
    <x v="3"/>
    <x v="5"/>
    <n v="16.23"/>
    <n v="22.45"/>
    <n v="17.63"/>
    <n v="28.57"/>
    <n v="4.18"/>
    <n v="8.16"/>
    <n v="4.58"/>
    <n v="1.48"/>
    <n v="76.72"/>
    <x v="1"/>
    <x v="0"/>
  </r>
  <r>
    <n v="259"/>
    <x v="136"/>
    <s v="C1084"/>
    <x v="7"/>
    <x v="2"/>
    <n v="4"/>
    <n v="150"/>
    <n v="600"/>
    <n v="70"/>
    <n v="280"/>
    <n v="320"/>
    <x v="2"/>
    <x v="1"/>
    <x v="0"/>
    <n v="35.83"/>
    <n v="38.43"/>
    <n v="6.93"/>
    <n v="2.12"/>
    <n v="1.17"/>
    <n v="3.58"/>
    <n v="7.38"/>
    <n v="2.29"/>
    <n v="222.27"/>
    <x v="2"/>
    <x v="0"/>
  </r>
  <r>
    <n v="260"/>
    <x v="8"/>
    <s v="C1257"/>
    <x v="2"/>
    <x v="1"/>
    <n v="3"/>
    <n v="80"/>
    <n v="240"/>
    <n v="30"/>
    <n v="90"/>
    <n v="150"/>
    <x v="1"/>
    <x v="1"/>
    <x v="3"/>
    <n v="23.96"/>
    <n v="46.91"/>
    <n v="8.41"/>
    <n v="20.13"/>
    <n v="1.54"/>
    <n v="2.74"/>
    <n v="3.07"/>
    <n v="2.71"/>
    <n v="40.53"/>
    <x v="0"/>
    <x v="1"/>
  </r>
  <r>
    <n v="261"/>
    <x v="15"/>
    <s v="C1345"/>
    <x v="2"/>
    <x v="1"/>
    <n v="3"/>
    <n v="80"/>
    <n v="240"/>
    <n v="30"/>
    <n v="90"/>
    <n v="150"/>
    <x v="1"/>
    <x v="2"/>
    <x v="3"/>
    <n v="16.350000000000001"/>
    <n v="15.33"/>
    <n v="6.45"/>
    <n v="11.43"/>
    <n v="2.79"/>
    <n v="3.84"/>
    <n v="2.35"/>
    <n v="0.97"/>
    <n v="90.49"/>
    <x v="2"/>
    <x v="0"/>
  </r>
  <r>
    <n v="262"/>
    <x v="14"/>
    <s v="C1236"/>
    <x v="4"/>
    <x v="0"/>
    <n v="3"/>
    <n v="120"/>
    <n v="360"/>
    <n v="50"/>
    <n v="150"/>
    <n v="210"/>
    <x v="2"/>
    <x v="3"/>
    <x v="5"/>
    <n v="35.07"/>
    <n v="50.43"/>
    <n v="7.36"/>
    <n v="3.24"/>
    <n v="4.5199999999999996"/>
    <n v="13.57"/>
    <n v="1.95"/>
    <n v="2.06"/>
    <n v="91.8"/>
    <x v="1"/>
    <x v="1"/>
  </r>
  <r>
    <n v="263"/>
    <x v="49"/>
    <s v="C1199"/>
    <x v="5"/>
    <x v="0"/>
    <n v="4"/>
    <n v="250"/>
    <n v="1000"/>
    <n v="110"/>
    <n v="440"/>
    <n v="560"/>
    <x v="0"/>
    <x v="4"/>
    <x v="2"/>
    <n v="33.9"/>
    <n v="16.2"/>
    <n v="13.71"/>
    <n v="13.89"/>
    <n v="3.23"/>
    <n v="11.2"/>
    <n v="7.59"/>
    <n v="1.84"/>
    <n v="458.44"/>
    <x v="0"/>
    <x v="1"/>
  </r>
  <r>
    <n v="264"/>
    <x v="137"/>
    <s v="C1113"/>
    <x v="2"/>
    <x v="1"/>
    <n v="1"/>
    <n v="80"/>
    <n v="80"/>
    <n v="30"/>
    <n v="30"/>
    <n v="50"/>
    <x v="4"/>
    <x v="3"/>
    <x v="3"/>
    <n v="31.27"/>
    <n v="32.159999999999997"/>
    <n v="11.22"/>
    <n v="13.14"/>
    <n v="1.99"/>
    <n v="6.37"/>
    <n v="5.86"/>
    <n v="1.72"/>
    <n v="-53.73"/>
    <x v="1"/>
    <x v="0"/>
  </r>
  <r>
    <n v="265"/>
    <x v="32"/>
    <s v="C1284"/>
    <x v="4"/>
    <x v="0"/>
    <n v="1"/>
    <n v="120"/>
    <n v="120"/>
    <n v="50"/>
    <n v="50"/>
    <n v="70"/>
    <x v="3"/>
    <x v="4"/>
    <x v="3"/>
    <n v="25.4"/>
    <n v="45.83"/>
    <n v="19.48"/>
    <n v="14.53"/>
    <n v="2.67"/>
    <n v="9.9600000000000009"/>
    <n v="1.74"/>
    <n v="1.95"/>
    <n v="-51.56"/>
    <x v="1"/>
    <x v="1"/>
  </r>
  <r>
    <n v="266"/>
    <x v="85"/>
    <s v="C1025"/>
    <x v="6"/>
    <x v="0"/>
    <n v="1"/>
    <n v="180"/>
    <n v="180"/>
    <n v="75"/>
    <n v="75"/>
    <n v="105"/>
    <x v="0"/>
    <x v="4"/>
    <x v="3"/>
    <n v="14.87"/>
    <n v="49.43"/>
    <n v="15.73"/>
    <n v="2.5499999999999998"/>
    <n v="1.59"/>
    <n v="2.16"/>
    <n v="6.12"/>
    <n v="0.65"/>
    <n v="11.9"/>
    <x v="2"/>
    <x v="0"/>
  </r>
  <r>
    <n v="267"/>
    <x v="67"/>
    <s v="C1347"/>
    <x v="4"/>
    <x v="0"/>
    <n v="1"/>
    <n v="120"/>
    <n v="120"/>
    <n v="50"/>
    <n v="50"/>
    <n v="70"/>
    <x v="0"/>
    <x v="0"/>
    <x v="1"/>
    <n v="28.08"/>
    <n v="54.47"/>
    <n v="16.670000000000002"/>
    <n v="11.74"/>
    <n v="1.27"/>
    <n v="11.33"/>
    <n v="5.23"/>
    <n v="0.37"/>
    <n v="-59.16"/>
    <x v="0"/>
    <x v="0"/>
  </r>
  <r>
    <n v="268"/>
    <x v="90"/>
    <s v="C1004"/>
    <x v="6"/>
    <x v="0"/>
    <n v="1"/>
    <n v="180"/>
    <n v="180"/>
    <n v="75"/>
    <n v="75"/>
    <n v="105"/>
    <x v="4"/>
    <x v="4"/>
    <x v="3"/>
    <n v="38.79"/>
    <n v="53.84"/>
    <n v="10.37"/>
    <n v="5.12"/>
    <n v="0.51"/>
    <n v="7.13"/>
    <n v="6.11"/>
    <n v="1.97"/>
    <n v="-18.84"/>
    <x v="2"/>
    <x v="0"/>
  </r>
  <r>
    <n v="269"/>
    <x v="83"/>
    <s v="C1235"/>
    <x v="4"/>
    <x v="0"/>
    <n v="2"/>
    <n v="120"/>
    <n v="240"/>
    <n v="50"/>
    <n v="100"/>
    <n v="140"/>
    <x v="2"/>
    <x v="4"/>
    <x v="4"/>
    <n v="22.7"/>
    <n v="17.55"/>
    <n v="18.079999999999998"/>
    <n v="10.130000000000001"/>
    <n v="3.13"/>
    <n v="10.45"/>
    <n v="6.14"/>
    <n v="2.44"/>
    <n v="49.38"/>
    <x v="1"/>
    <x v="0"/>
  </r>
  <r>
    <n v="270"/>
    <x v="91"/>
    <s v="C1057"/>
    <x v="3"/>
    <x v="2"/>
    <n v="1"/>
    <n v="180"/>
    <n v="180"/>
    <n v="90"/>
    <n v="90"/>
    <n v="90"/>
    <x v="0"/>
    <x v="0"/>
    <x v="5"/>
    <n v="34.72"/>
    <n v="36.56"/>
    <n v="11.67"/>
    <n v="7.51"/>
    <n v="2.11"/>
    <n v="11.04"/>
    <n v="4.2699999999999996"/>
    <n v="2.11"/>
    <n v="-19.989999999999998"/>
    <x v="1"/>
    <x v="0"/>
  </r>
  <r>
    <n v="271"/>
    <x v="104"/>
    <s v="C1131"/>
    <x v="4"/>
    <x v="0"/>
    <n v="3"/>
    <n v="120"/>
    <n v="360"/>
    <n v="50"/>
    <n v="150"/>
    <n v="210"/>
    <x v="1"/>
    <x v="1"/>
    <x v="3"/>
    <n v="35.49"/>
    <n v="53.8"/>
    <n v="8.9"/>
    <n v="31.81"/>
    <n v="4.05"/>
    <n v="10.050000000000001"/>
    <n v="2.91"/>
    <n v="1.43"/>
    <n v="61.56"/>
    <x v="1"/>
    <x v="1"/>
  </r>
  <r>
    <n v="272"/>
    <x v="51"/>
    <s v="C1088"/>
    <x v="5"/>
    <x v="0"/>
    <n v="1"/>
    <n v="250"/>
    <n v="250"/>
    <n v="110"/>
    <n v="110"/>
    <n v="140"/>
    <x v="0"/>
    <x v="1"/>
    <x v="2"/>
    <n v="17.73"/>
    <n v="36.03"/>
    <n v="15.21"/>
    <n v="18.350000000000001"/>
    <n v="2.5"/>
    <n v="2.48"/>
    <n v="1.66"/>
    <n v="0.06"/>
    <n v="45.98"/>
    <x v="2"/>
    <x v="1"/>
  </r>
  <r>
    <n v="273"/>
    <x v="138"/>
    <s v="C1258"/>
    <x v="0"/>
    <x v="0"/>
    <n v="4"/>
    <n v="200"/>
    <n v="800"/>
    <n v="90"/>
    <n v="360"/>
    <n v="440"/>
    <x v="4"/>
    <x v="1"/>
    <x v="5"/>
    <n v="19.34"/>
    <n v="56.5"/>
    <n v="16.93"/>
    <n v="17.54"/>
    <n v="4.76"/>
    <n v="2.75"/>
    <n v="2.0499999999999998"/>
    <n v="0.77"/>
    <n v="319.36"/>
    <x v="2"/>
    <x v="1"/>
  </r>
  <r>
    <n v="274"/>
    <x v="123"/>
    <s v="C1100"/>
    <x v="6"/>
    <x v="0"/>
    <n v="3"/>
    <n v="180"/>
    <n v="540"/>
    <n v="75"/>
    <n v="225"/>
    <n v="315"/>
    <x v="2"/>
    <x v="2"/>
    <x v="1"/>
    <n v="11.08"/>
    <n v="15.6"/>
    <n v="5.68"/>
    <n v="21.01"/>
    <n v="4.87"/>
    <n v="5.77"/>
    <n v="2.09"/>
    <n v="1.33"/>
    <n v="247.57"/>
    <x v="0"/>
    <x v="0"/>
  </r>
  <r>
    <n v="275"/>
    <x v="139"/>
    <s v="C1058"/>
    <x v="2"/>
    <x v="1"/>
    <n v="2"/>
    <n v="80"/>
    <n v="160"/>
    <n v="30"/>
    <n v="60"/>
    <n v="100"/>
    <x v="2"/>
    <x v="1"/>
    <x v="4"/>
    <n v="36.51"/>
    <n v="23.71"/>
    <n v="15.93"/>
    <n v="11.19"/>
    <n v="1.32"/>
    <n v="7.59"/>
    <n v="7.7"/>
    <n v="1.02"/>
    <n v="-4.97"/>
    <x v="2"/>
    <x v="0"/>
  </r>
  <r>
    <n v="276"/>
    <x v="14"/>
    <s v="C1203"/>
    <x v="2"/>
    <x v="1"/>
    <n v="1"/>
    <n v="80"/>
    <n v="80"/>
    <n v="30"/>
    <n v="30"/>
    <n v="50"/>
    <x v="2"/>
    <x v="4"/>
    <x v="1"/>
    <n v="23.9"/>
    <n v="30.81"/>
    <n v="13.77"/>
    <n v="27.07"/>
    <n v="4.96"/>
    <n v="5.04"/>
    <n v="1.07"/>
    <n v="2.5499999999999998"/>
    <n v="-59.17"/>
    <x v="0"/>
    <x v="1"/>
  </r>
  <r>
    <n v="277"/>
    <x v="60"/>
    <s v="C1312"/>
    <x v="6"/>
    <x v="0"/>
    <n v="1"/>
    <n v="180"/>
    <n v="180"/>
    <n v="75"/>
    <n v="75"/>
    <n v="105"/>
    <x v="3"/>
    <x v="4"/>
    <x v="2"/>
    <n v="33.86"/>
    <n v="40.380000000000003"/>
    <n v="15.79"/>
    <n v="17.43"/>
    <n v="3.34"/>
    <n v="14.82"/>
    <n v="3.37"/>
    <n v="2.9"/>
    <n v="-26.89"/>
    <x v="0"/>
    <x v="1"/>
  </r>
  <r>
    <n v="278"/>
    <x v="35"/>
    <s v="C1111"/>
    <x v="0"/>
    <x v="0"/>
    <n v="1"/>
    <n v="200"/>
    <n v="200"/>
    <n v="90"/>
    <n v="90"/>
    <n v="110"/>
    <x v="1"/>
    <x v="0"/>
    <x v="5"/>
    <n v="35.49"/>
    <n v="24.99"/>
    <n v="5.05"/>
    <n v="11.36"/>
    <n v="2.71"/>
    <n v="6.1"/>
    <n v="5.63"/>
    <n v="0.54"/>
    <n v="18.13"/>
    <x v="0"/>
    <x v="0"/>
  </r>
  <r>
    <n v="279"/>
    <x v="118"/>
    <s v="C1045"/>
    <x v="4"/>
    <x v="0"/>
    <n v="1"/>
    <n v="120"/>
    <n v="120"/>
    <n v="50"/>
    <n v="50"/>
    <n v="70"/>
    <x v="0"/>
    <x v="2"/>
    <x v="5"/>
    <n v="14.06"/>
    <n v="25.07"/>
    <n v="18.53"/>
    <n v="25.2"/>
    <n v="4.71"/>
    <n v="13.97"/>
    <n v="3.35"/>
    <n v="1.1599999999999999"/>
    <n v="-36.049999999999997"/>
    <x v="1"/>
    <x v="0"/>
  </r>
  <r>
    <n v="280"/>
    <x v="81"/>
    <s v="C1276"/>
    <x v="2"/>
    <x v="1"/>
    <n v="4"/>
    <n v="80"/>
    <n v="320"/>
    <n v="30"/>
    <n v="120"/>
    <n v="200"/>
    <x v="2"/>
    <x v="1"/>
    <x v="2"/>
    <n v="26.77"/>
    <n v="29.63"/>
    <n v="14.56"/>
    <n v="28.45"/>
    <n v="4.3"/>
    <n v="8.11"/>
    <n v="6.21"/>
    <n v="2.6"/>
    <n v="79.37"/>
    <x v="2"/>
    <x v="1"/>
  </r>
  <r>
    <n v="281"/>
    <x v="124"/>
    <s v="C1133"/>
    <x v="0"/>
    <x v="0"/>
    <n v="2"/>
    <n v="200"/>
    <n v="400"/>
    <n v="90"/>
    <n v="180"/>
    <n v="220"/>
    <x v="0"/>
    <x v="0"/>
    <x v="4"/>
    <n v="38.119999999999997"/>
    <n v="45.23"/>
    <n v="5.17"/>
    <n v="33"/>
    <n v="3.36"/>
    <n v="2.6"/>
    <n v="7.3"/>
    <n v="0.19"/>
    <n v="85.03"/>
    <x v="2"/>
    <x v="0"/>
  </r>
  <r>
    <n v="282"/>
    <x v="12"/>
    <s v="C1255"/>
    <x v="7"/>
    <x v="2"/>
    <n v="3"/>
    <n v="150"/>
    <n v="450"/>
    <n v="70"/>
    <n v="210"/>
    <n v="240"/>
    <x v="3"/>
    <x v="2"/>
    <x v="1"/>
    <n v="19.12"/>
    <n v="53.07"/>
    <n v="14.8"/>
    <n v="31.95"/>
    <n v="3.65"/>
    <n v="9.41"/>
    <n v="6.92"/>
    <n v="1.42"/>
    <n v="99.66"/>
    <x v="1"/>
    <x v="0"/>
  </r>
  <r>
    <n v="283"/>
    <x v="108"/>
    <s v="C1133"/>
    <x v="4"/>
    <x v="0"/>
    <n v="1"/>
    <n v="120"/>
    <n v="120"/>
    <n v="50"/>
    <n v="50"/>
    <n v="70"/>
    <x v="2"/>
    <x v="3"/>
    <x v="1"/>
    <n v="13.03"/>
    <n v="58.8"/>
    <n v="19.22"/>
    <n v="18.34"/>
    <n v="0.34"/>
    <n v="14.96"/>
    <n v="2.71"/>
    <n v="0.03"/>
    <n v="-57.43"/>
    <x v="2"/>
    <x v="0"/>
  </r>
  <r>
    <n v="284"/>
    <x v="16"/>
    <s v="C1100"/>
    <x v="2"/>
    <x v="1"/>
    <n v="1"/>
    <n v="80"/>
    <n v="80"/>
    <n v="30"/>
    <n v="30"/>
    <n v="50"/>
    <x v="2"/>
    <x v="3"/>
    <x v="5"/>
    <n v="31.33"/>
    <n v="26.33"/>
    <n v="17.809999999999999"/>
    <n v="32.54"/>
    <n v="3.47"/>
    <n v="3.25"/>
    <n v="4.5599999999999996"/>
    <n v="1.0900000000000001"/>
    <n v="-70.38"/>
    <x v="2"/>
    <x v="1"/>
  </r>
  <r>
    <n v="285"/>
    <x v="52"/>
    <s v="C1168"/>
    <x v="3"/>
    <x v="2"/>
    <n v="4"/>
    <n v="180"/>
    <n v="720"/>
    <n v="90"/>
    <n v="360"/>
    <n v="360"/>
    <x v="1"/>
    <x v="2"/>
    <x v="5"/>
    <n v="18.5"/>
    <n v="15.55"/>
    <n v="8.5299999999999994"/>
    <n v="22.81"/>
    <n v="2.82"/>
    <n v="3.15"/>
    <n v="7.32"/>
    <n v="2.95"/>
    <n v="278.37"/>
    <x v="2"/>
    <x v="0"/>
  </r>
  <r>
    <n v="286"/>
    <x v="57"/>
    <s v="C1176"/>
    <x v="2"/>
    <x v="1"/>
    <n v="3"/>
    <n v="80"/>
    <n v="240"/>
    <n v="30"/>
    <n v="90"/>
    <n v="150"/>
    <x v="4"/>
    <x v="4"/>
    <x v="0"/>
    <n v="38.159999999999997"/>
    <n v="45.98"/>
    <n v="19.02"/>
    <n v="16.75"/>
    <n v="4.53"/>
    <n v="11.92"/>
    <n v="5.21"/>
    <n v="0.82"/>
    <n v="7.61"/>
    <x v="2"/>
    <x v="0"/>
  </r>
  <r>
    <n v="287"/>
    <x v="140"/>
    <s v="C1205"/>
    <x v="6"/>
    <x v="0"/>
    <n v="1"/>
    <n v="180"/>
    <n v="180"/>
    <n v="75"/>
    <n v="75"/>
    <n v="105"/>
    <x v="1"/>
    <x v="3"/>
    <x v="0"/>
    <n v="28.05"/>
    <n v="42.84"/>
    <n v="19.36"/>
    <n v="24.18"/>
    <n v="3.47"/>
    <n v="12.81"/>
    <n v="1.37"/>
    <n v="2.06"/>
    <n v="-29.14"/>
    <x v="2"/>
    <x v="0"/>
  </r>
  <r>
    <n v="288"/>
    <x v="45"/>
    <s v="C1167"/>
    <x v="1"/>
    <x v="0"/>
    <n v="1"/>
    <n v="220"/>
    <n v="220"/>
    <n v="100"/>
    <n v="100"/>
    <n v="120"/>
    <x v="2"/>
    <x v="1"/>
    <x v="1"/>
    <n v="26.5"/>
    <n v="45.69"/>
    <n v="11.51"/>
    <n v="13.66"/>
    <n v="0.95"/>
    <n v="8.09"/>
    <n v="3.69"/>
    <n v="0.24"/>
    <n v="9.67"/>
    <x v="2"/>
    <x v="1"/>
  </r>
  <r>
    <n v="289"/>
    <x v="141"/>
    <s v="C1087"/>
    <x v="6"/>
    <x v="0"/>
    <n v="2"/>
    <n v="180"/>
    <n v="360"/>
    <n v="75"/>
    <n v="150"/>
    <n v="210"/>
    <x v="1"/>
    <x v="3"/>
    <x v="1"/>
    <n v="30.27"/>
    <n v="51.7"/>
    <n v="19.29"/>
    <n v="21.94"/>
    <n v="0.4"/>
    <n v="13.23"/>
    <n v="5.66"/>
    <n v="1.49"/>
    <n v="66.02"/>
    <x v="0"/>
    <x v="1"/>
  </r>
  <r>
    <n v="290"/>
    <x v="108"/>
    <s v="C1076"/>
    <x v="2"/>
    <x v="1"/>
    <n v="1"/>
    <n v="80"/>
    <n v="80"/>
    <n v="30"/>
    <n v="30"/>
    <n v="50"/>
    <x v="0"/>
    <x v="0"/>
    <x v="4"/>
    <n v="22.02"/>
    <n v="23.07"/>
    <n v="13.65"/>
    <n v="28.85"/>
    <n v="4.13"/>
    <n v="10.97"/>
    <n v="7.14"/>
    <n v="2.37"/>
    <n v="-62.2"/>
    <x v="0"/>
    <x v="0"/>
  </r>
  <r>
    <n v="291"/>
    <x v="10"/>
    <s v="C1169"/>
    <x v="0"/>
    <x v="0"/>
    <n v="4"/>
    <n v="200"/>
    <n v="800"/>
    <n v="90"/>
    <n v="360"/>
    <n v="440"/>
    <x v="3"/>
    <x v="2"/>
    <x v="4"/>
    <n v="16.899999999999999"/>
    <n v="29.14"/>
    <n v="17.8"/>
    <n v="10.43"/>
    <n v="2.99"/>
    <n v="3.42"/>
    <n v="4.24"/>
    <n v="1.2"/>
    <n v="353.88"/>
    <x v="1"/>
    <x v="1"/>
  </r>
  <r>
    <n v="292"/>
    <x v="142"/>
    <s v="C1177"/>
    <x v="7"/>
    <x v="2"/>
    <n v="4"/>
    <n v="150"/>
    <n v="600"/>
    <n v="70"/>
    <n v="280"/>
    <n v="320"/>
    <x v="2"/>
    <x v="1"/>
    <x v="2"/>
    <n v="13.85"/>
    <n v="22.39"/>
    <n v="8.7200000000000006"/>
    <n v="25.26"/>
    <n v="2.9"/>
    <n v="2.78"/>
    <n v="2.2799999999999998"/>
    <n v="2.48"/>
    <n v="239.34"/>
    <x v="0"/>
    <x v="0"/>
  </r>
  <r>
    <n v="293"/>
    <x v="53"/>
    <s v="C1176"/>
    <x v="2"/>
    <x v="1"/>
    <n v="4"/>
    <n v="80"/>
    <n v="320"/>
    <n v="30"/>
    <n v="120"/>
    <n v="200"/>
    <x v="2"/>
    <x v="3"/>
    <x v="3"/>
    <n v="12.5"/>
    <n v="55.17"/>
    <n v="10.37"/>
    <n v="11.63"/>
    <n v="2.64"/>
    <n v="9.51"/>
    <n v="4.16"/>
    <n v="0.1"/>
    <n v="93.92"/>
    <x v="2"/>
    <x v="1"/>
  </r>
  <r>
    <n v="294"/>
    <x v="3"/>
    <s v="C1267"/>
    <x v="3"/>
    <x v="2"/>
    <n v="1"/>
    <n v="180"/>
    <n v="180"/>
    <n v="90"/>
    <n v="90"/>
    <n v="90"/>
    <x v="4"/>
    <x v="1"/>
    <x v="0"/>
    <n v="11.79"/>
    <n v="30.34"/>
    <n v="9.6199999999999992"/>
    <n v="7.78"/>
    <n v="2.06"/>
    <n v="3.16"/>
    <n v="4.01"/>
    <n v="1.1499999999999999"/>
    <n v="20.09"/>
    <x v="2"/>
    <x v="0"/>
  </r>
  <r>
    <n v="295"/>
    <x v="77"/>
    <s v="C1203"/>
    <x v="1"/>
    <x v="0"/>
    <n v="4"/>
    <n v="220"/>
    <n v="880"/>
    <n v="100"/>
    <n v="400"/>
    <n v="480"/>
    <x v="1"/>
    <x v="2"/>
    <x v="4"/>
    <n v="30.43"/>
    <n v="37.28"/>
    <n v="14.98"/>
    <n v="10.69"/>
    <n v="0.94"/>
    <n v="2.19"/>
    <n v="5.16"/>
    <n v="0.24"/>
    <n v="378.09"/>
    <x v="0"/>
    <x v="1"/>
  </r>
  <r>
    <n v="296"/>
    <x v="77"/>
    <s v="C1118"/>
    <x v="2"/>
    <x v="1"/>
    <n v="4"/>
    <n v="80"/>
    <n v="320"/>
    <n v="30"/>
    <n v="120"/>
    <n v="200"/>
    <x v="3"/>
    <x v="3"/>
    <x v="0"/>
    <n v="17.36"/>
    <n v="59.14"/>
    <n v="15.32"/>
    <n v="2.39"/>
    <n v="3.63"/>
    <n v="9.43"/>
    <n v="4.55"/>
    <n v="0.23"/>
    <n v="87.95"/>
    <x v="0"/>
    <x v="0"/>
  </r>
  <r>
    <n v="297"/>
    <x v="63"/>
    <s v="C1135"/>
    <x v="0"/>
    <x v="0"/>
    <n v="4"/>
    <n v="200"/>
    <n v="800"/>
    <n v="90"/>
    <n v="360"/>
    <n v="440"/>
    <x v="0"/>
    <x v="2"/>
    <x v="0"/>
    <n v="24.28"/>
    <n v="44.37"/>
    <n v="7.33"/>
    <n v="8.2200000000000006"/>
    <n v="2.16"/>
    <n v="2.1"/>
    <n v="6.96"/>
    <n v="2.34"/>
    <n v="342.24"/>
    <x v="2"/>
    <x v="0"/>
  </r>
  <r>
    <n v="298"/>
    <x v="143"/>
    <s v="C1043"/>
    <x v="2"/>
    <x v="1"/>
    <n v="2"/>
    <n v="80"/>
    <n v="160"/>
    <n v="30"/>
    <n v="60"/>
    <n v="100"/>
    <x v="0"/>
    <x v="0"/>
    <x v="5"/>
    <n v="25.32"/>
    <n v="42.06"/>
    <n v="19.600000000000001"/>
    <n v="30.63"/>
    <n v="1.53"/>
    <n v="5"/>
    <n v="6.06"/>
    <n v="2.72"/>
    <n v="-32.92"/>
    <x v="1"/>
    <x v="1"/>
  </r>
  <r>
    <n v="299"/>
    <x v="50"/>
    <s v="C1174"/>
    <x v="4"/>
    <x v="0"/>
    <n v="1"/>
    <n v="120"/>
    <n v="120"/>
    <n v="50"/>
    <n v="50"/>
    <n v="70"/>
    <x v="0"/>
    <x v="0"/>
    <x v="3"/>
    <n v="37.36"/>
    <n v="37.92"/>
    <n v="11.93"/>
    <n v="6.07"/>
    <n v="3.58"/>
    <n v="3.87"/>
    <n v="3.13"/>
    <n v="0.25"/>
    <n v="-34.11"/>
    <x v="1"/>
    <x v="0"/>
  </r>
  <r>
    <n v="300"/>
    <x v="86"/>
    <s v="C1096"/>
    <x v="1"/>
    <x v="0"/>
    <n v="4"/>
    <n v="220"/>
    <n v="880"/>
    <n v="100"/>
    <n v="400"/>
    <n v="480"/>
    <x v="4"/>
    <x v="0"/>
    <x v="1"/>
    <n v="34.14"/>
    <n v="26.95"/>
    <n v="18.11"/>
    <n v="29.74"/>
    <n v="0.8"/>
    <n v="14.38"/>
    <n v="3.01"/>
    <n v="2.11"/>
    <n v="350.76"/>
    <x v="0"/>
    <x v="0"/>
  </r>
  <r>
    <n v="301"/>
    <x v="144"/>
    <s v="C1103"/>
    <x v="7"/>
    <x v="2"/>
    <n v="2"/>
    <n v="150"/>
    <n v="300"/>
    <n v="70"/>
    <n v="140"/>
    <n v="160"/>
    <x v="3"/>
    <x v="4"/>
    <x v="4"/>
    <n v="28.97"/>
    <n v="27.97"/>
    <n v="19.71"/>
    <n v="5.01"/>
    <n v="4.78"/>
    <n v="2.1800000000000002"/>
    <n v="1.34"/>
    <n v="2.2599999999999998"/>
    <n v="67.78"/>
    <x v="1"/>
    <x v="1"/>
  </r>
  <r>
    <n v="302"/>
    <x v="26"/>
    <s v="C1050"/>
    <x v="1"/>
    <x v="0"/>
    <n v="2"/>
    <n v="220"/>
    <n v="440"/>
    <n v="100"/>
    <n v="200"/>
    <n v="240"/>
    <x v="1"/>
    <x v="0"/>
    <x v="2"/>
    <n v="15.19"/>
    <n v="28.73"/>
    <n v="8.5"/>
    <n v="34.549999999999997"/>
    <n v="0.6"/>
    <n v="4.0599999999999996"/>
    <n v="1.72"/>
    <n v="2.36"/>
    <n v="144.29"/>
    <x v="1"/>
    <x v="0"/>
  </r>
  <r>
    <n v="303"/>
    <x v="27"/>
    <s v="C1112"/>
    <x v="6"/>
    <x v="0"/>
    <n v="1"/>
    <n v="180"/>
    <n v="180"/>
    <n v="75"/>
    <n v="75"/>
    <n v="105"/>
    <x v="3"/>
    <x v="0"/>
    <x v="1"/>
    <n v="38.25"/>
    <n v="42.14"/>
    <n v="14.94"/>
    <n v="1.27"/>
    <n v="1.23"/>
    <n v="5.63"/>
    <n v="3.16"/>
    <n v="0.9"/>
    <n v="-2.52"/>
    <x v="0"/>
    <x v="1"/>
  </r>
  <r>
    <n v="304"/>
    <x v="17"/>
    <s v="C1264"/>
    <x v="1"/>
    <x v="0"/>
    <n v="1"/>
    <n v="220"/>
    <n v="220"/>
    <n v="100"/>
    <n v="100"/>
    <n v="120"/>
    <x v="3"/>
    <x v="0"/>
    <x v="1"/>
    <n v="34.64"/>
    <n v="37.94"/>
    <n v="12.16"/>
    <n v="5"/>
    <n v="0"/>
    <n v="12.87"/>
    <n v="1.1599999999999999"/>
    <n v="2.16"/>
    <n v="14.07"/>
    <x v="0"/>
    <x v="0"/>
  </r>
  <r>
    <n v="305"/>
    <x v="63"/>
    <s v="C1231"/>
    <x v="2"/>
    <x v="1"/>
    <n v="1"/>
    <n v="80"/>
    <n v="80"/>
    <n v="30"/>
    <n v="30"/>
    <n v="50"/>
    <x v="1"/>
    <x v="3"/>
    <x v="4"/>
    <n v="23.5"/>
    <n v="51.81"/>
    <n v="15.05"/>
    <n v="11.8"/>
    <n v="4"/>
    <n v="2.48"/>
    <n v="7.25"/>
    <n v="0.26"/>
    <n v="-66.150000000000006"/>
    <x v="2"/>
    <x v="0"/>
  </r>
  <r>
    <n v="306"/>
    <x v="44"/>
    <s v="C1159"/>
    <x v="2"/>
    <x v="1"/>
    <n v="1"/>
    <n v="80"/>
    <n v="80"/>
    <n v="30"/>
    <n v="30"/>
    <n v="50"/>
    <x v="2"/>
    <x v="1"/>
    <x v="5"/>
    <n v="37.53"/>
    <n v="28.04"/>
    <n v="7.09"/>
    <n v="20.71"/>
    <n v="0.61"/>
    <n v="6.57"/>
    <n v="3.87"/>
    <n v="1.5"/>
    <n v="-55.92"/>
    <x v="0"/>
    <x v="1"/>
  </r>
  <r>
    <n v="307"/>
    <x v="91"/>
    <s v="C1126"/>
    <x v="4"/>
    <x v="0"/>
    <n v="4"/>
    <n v="120"/>
    <n v="480"/>
    <n v="50"/>
    <n v="200"/>
    <n v="280"/>
    <x v="2"/>
    <x v="1"/>
    <x v="3"/>
    <n v="31.71"/>
    <n v="24.36"/>
    <n v="9.5399999999999991"/>
    <n v="6.35"/>
    <n v="1.49"/>
    <n v="4.01"/>
    <n v="3.62"/>
    <n v="1.54"/>
    <n v="197.38"/>
    <x v="0"/>
    <x v="1"/>
  </r>
  <r>
    <n v="308"/>
    <x v="28"/>
    <s v="C1071"/>
    <x v="6"/>
    <x v="0"/>
    <n v="2"/>
    <n v="180"/>
    <n v="360"/>
    <n v="75"/>
    <n v="150"/>
    <n v="210"/>
    <x v="0"/>
    <x v="2"/>
    <x v="4"/>
    <n v="13.12"/>
    <n v="17.670000000000002"/>
    <n v="14.49"/>
    <n v="5.51"/>
    <n v="0.8"/>
    <n v="10.15"/>
    <n v="3.91"/>
    <n v="2.63"/>
    <n v="141.72"/>
    <x v="1"/>
    <x v="0"/>
  </r>
  <r>
    <n v="309"/>
    <x v="25"/>
    <s v="C1082"/>
    <x v="4"/>
    <x v="0"/>
    <n v="3"/>
    <n v="120"/>
    <n v="360"/>
    <n v="50"/>
    <n v="150"/>
    <n v="210"/>
    <x v="0"/>
    <x v="4"/>
    <x v="5"/>
    <n v="20.92"/>
    <n v="52.15"/>
    <n v="17.22"/>
    <n v="34.94"/>
    <n v="3.9"/>
    <n v="4.41"/>
    <n v="6.33"/>
    <n v="0.67"/>
    <n v="69.459999999999994"/>
    <x v="0"/>
    <x v="1"/>
  </r>
  <r>
    <n v="310"/>
    <x v="83"/>
    <s v="C1310"/>
    <x v="0"/>
    <x v="0"/>
    <n v="3"/>
    <n v="200"/>
    <n v="600"/>
    <n v="90"/>
    <n v="270"/>
    <n v="330"/>
    <x v="0"/>
    <x v="1"/>
    <x v="5"/>
    <n v="34.43"/>
    <n v="30.07"/>
    <n v="15.34"/>
    <n v="32.26"/>
    <n v="1.64"/>
    <n v="8.82"/>
    <n v="3.05"/>
    <n v="0.83"/>
    <n v="203.56"/>
    <x v="2"/>
    <x v="1"/>
  </r>
  <r>
    <n v="311"/>
    <x v="88"/>
    <s v="C1172"/>
    <x v="6"/>
    <x v="0"/>
    <n v="1"/>
    <n v="180"/>
    <n v="180"/>
    <n v="75"/>
    <n v="75"/>
    <n v="105"/>
    <x v="0"/>
    <x v="0"/>
    <x v="2"/>
    <n v="11.24"/>
    <n v="59.45"/>
    <n v="19.2"/>
    <n v="12.48"/>
    <n v="0.84"/>
    <n v="2.96"/>
    <n v="6.17"/>
    <n v="2.37"/>
    <n v="-9.7100000000000009"/>
    <x v="0"/>
    <x v="0"/>
  </r>
  <r>
    <n v="312"/>
    <x v="2"/>
    <s v="C1265"/>
    <x v="2"/>
    <x v="1"/>
    <n v="2"/>
    <n v="80"/>
    <n v="160"/>
    <n v="30"/>
    <n v="60"/>
    <n v="100"/>
    <x v="0"/>
    <x v="3"/>
    <x v="2"/>
    <n v="20.36"/>
    <n v="51.52"/>
    <n v="15.67"/>
    <n v="20.3"/>
    <n v="3.67"/>
    <n v="7.58"/>
    <n v="3.84"/>
    <n v="2.95"/>
    <n v="-25.89"/>
    <x v="2"/>
    <x v="0"/>
  </r>
  <r>
    <n v="313"/>
    <x v="51"/>
    <s v="C1192"/>
    <x v="3"/>
    <x v="2"/>
    <n v="1"/>
    <n v="180"/>
    <n v="180"/>
    <n v="90"/>
    <n v="90"/>
    <n v="90"/>
    <x v="1"/>
    <x v="2"/>
    <x v="1"/>
    <n v="25.15"/>
    <n v="37.869999999999997"/>
    <n v="16.63"/>
    <n v="24.53"/>
    <n v="4.3"/>
    <n v="12.12"/>
    <n v="5.0599999999999996"/>
    <n v="1.4"/>
    <n v="-37.06"/>
    <x v="0"/>
    <x v="1"/>
  </r>
  <r>
    <n v="314"/>
    <x v="36"/>
    <s v="C1060"/>
    <x v="6"/>
    <x v="0"/>
    <n v="2"/>
    <n v="180"/>
    <n v="360"/>
    <n v="75"/>
    <n v="150"/>
    <n v="210"/>
    <x v="2"/>
    <x v="3"/>
    <x v="4"/>
    <n v="11.56"/>
    <n v="51.69"/>
    <n v="8.5500000000000007"/>
    <n v="8.11"/>
    <n v="1.73"/>
    <n v="13.13"/>
    <n v="4.17"/>
    <n v="2.16"/>
    <n v="108.9"/>
    <x v="1"/>
    <x v="1"/>
  </r>
  <r>
    <n v="315"/>
    <x v="92"/>
    <s v="C1047"/>
    <x v="2"/>
    <x v="1"/>
    <n v="1"/>
    <n v="80"/>
    <n v="80"/>
    <n v="30"/>
    <n v="30"/>
    <n v="50"/>
    <x v="0"/>
    <x v="1"/>
    <x v="5"/>
    <n v="11.74"/>
    <n v="45.1"/>
    <n v="11.62"/>
    <n v="9.61"/>
    <n v="1"/>
    <n v="8.27"/>
    <n v="7.3"/>
    <n v="2.92"/>
    <n v="-47.56"/>
    <x v="0"/>
    <x v="1"/>
  </r>
  <r>
    <n v="316"/>
    <x v="81"/>
    <s v="C1102"/>
    <x v="7"/>
    <x v="2"/>
    <n v="2"/>
    <n v="150"/>
    <n v="300"/>
    <n v="70"/>
    <n v="140"/>
    <n v="160"/>
    <x v="4"/>
    <x v="4"/>
    <x v="0"/>
    <n v="35.01"/>
    <n v="28.12"/>
    <n v="5.56"/>
    <n v="31.54"/>
    <n v="1.4"/>
    <n v="2.2599999999999998"/>
    <n v="1.51"/>
    <n v="2.95"/>
    <n v="51.65"/>
    <x v="2"/>
    <x v="1"/>
  </r>
  <r>
    <n v="317"/>
    <x v="19"/>
    <s v="C1308"/>
    <x v="5"/>
    <x v="0"/>
    <n v="1"/>
    <n v="250"/>
    <n v="250"/>
    <n v="110"/>
    <n v="110"/>
    <n v="140"/>
    <x v="0"/>
    <x v="2"/>
    <x v="5"/>
    <n v="15.43"/>
    <n v="33.9"/>
    <n v="17.760000000000002"/>
    <n v="13.27"/>
    <n v="3.39"/>
    <n v="6.2"/>
    <n v="5.65"/>
    <n v="2.76"/>
    <n v="41.64"/>
    <x v="0"/>
    <x v="1"/>
  </r>
  <r>
    <n v="318"/>
    <x v="116"/>
    <s v="C1203"/>
    <x v="0"/>
    <x v="0"/>
    <n v="1"/>
    <n v="200"/>
    <n v="200"/>
    <n v="90"/>
    <n v="90"/>
    <n v="110"/>
    <x v="3"/>
    <x v="3"/>
    <x v="5"/>
    <n v="33.04"/>
    <n v="32.67"/>
    <n v="15.97"/>
    <n v="31.65"/>
    <n v="3.15"/>
    <n v="8.5399999999999991"/>
    <n v="7.13"/>
    <n v="2.1"/>
    <n v="-24.25"/>
    <x v="1"/>
    <x v="0"/>
  </r>
  <r>
    <n v="319"/>
    <x v="129"/>
    <s v="C1096"/>
    <x v="3"/>
    <x v="2"/>
    <n v="3"/>
    <n v="180"/>
    <n v="540"/>
    <n v="90"/>
    <n v="270"/>
    <n v="270"/>
    <x v="4"/>
    <x v="1"/>
    <x v="1"/>
    <n v="22.31"/>
    <n v="26.12"/>
    <n v="11.22"/>
    <n v="33.119999999999997"/>
    <n v="1.1299999999999999"/>
    <n v="2.85"/>
    <n v="1.29"/>
    <n v="1.32"/>
    <n v="170.64"/>
    <x v="2"/>
    <x v="1"/>
  </r>
  <r>
    <n v="320"/>
    <x v="14"/>
    <s v="C1266"/>
    <x v="5"/>
    <x v="0"/>
    <n v="2"/>
    <n v="250"/>
    <n v="500"/>
    <n v="110"/>
    <n v="220"/>
    <n v="280"/>
    <x v="1"/>
    <x v="4"/>
    <x v="1"/>
    <n v="20.27"/>
    <n v="34.44"/>
    <n v="8.76"/>
    <n v="16.54"/>
    <n v="2.0499999999999998"/>
    <n v="5.58"/>
    <n v="2.97"/>
    <n v="1.58"/>
    <n v="187.81"/>
    <x v="1"/>
    <x v="1"/>
  </r>
  <r>
    <n v="321"/>
    <x v="64"/>
    <s v="C1141"/>
    <x v="5"/>
    <x v="0"/>
    <n v="2"/>
    <n v="250"/>
    <n v="500"/>
    <n v="110"/>
    <n v="220"/>
    <n v="280"/>
    <x v="4"/>
    <x v="4"/>
    <x v="0"/>
    <n v="13.78"/>
    <n v="16.489999999999998"/>
    <n v="11.78"/>
    <n v="15.63"/>
    <n v="4.7699999999999996"/>
    <n v="3.81"/>
    <n v="4.4400000000000004"/>
    <n v="0.62"/>
    <n v="208.68"/>
    <x v="2"/>
    <x v="1"/>
  </r>
  <r>
    <n v="322"/>
    <x v="21"/>
    <s v="C1083"/>
    <x v="1"/>
    <x v="0"/>
    <n v="1"/>
    <n v="220"/>
    <n v="220"/>
    <n v="100"/>
    <n v="100"/>
    <n v="120"/>
    <x v="4"/>
    <x v="3"/>
    <x v="5"/>
    <n v="10.210000000000001"/>
    <n v="25.56"/>
    <n v="5.0599999999999996"/>
    <n v="27.48"/>
    <n v="2.17"/>
    <n v="12.3"/>
    <n v="1.63"/>
    <n v="1.17"/>
    <n v="34.42"/>
    <x v="0"/>
    <x v="1"/>
  </r>
  <r>
    <n v="323"/>
    <x v="22"/>
    <s v="C1030"/>
    <x v="0"/>
    <x v="0"/>
    <n v="2"/>
    <n v="200"/>
    <n v="400"/>
    <n v="90"/>
    <n v="180"/>
    <n v="220"/>
    <x v="2"/>
    <x v="3"/>
    <x v="1"/>
    <n v="18.579999999999998"/>
    <n v="23.61"/>
    <n v="6.89"/>
    <n v="23.02"/>
    <n v="4.47"/>
    <n v="10.55"/>
    <n v="1.53"/>
    <n v="1.75"/>
    <n v="129.6"/>
    <x v="2"/>
    <x v="1"/>
  </r>
  <r>
    <n v="324"/>
    <x v="145"/>
    <s v="C1172"/>
    <x v="1"/>
    <x v="0"/>
    <n v="3"/>
    <n v="220"/>
    <n v="660"/>
    <n v="100"/>
    <n v="300"/>
    <n v="360"/>
    <x v="1"/>
    <x v="0"/>
    <x v="5"/>
    <n v="39.85"/>
    <n v="15.09"/>
    <n v="13.51"/>
    <n v="22.04"/>
    <n v="0.94"/>
    <n v="6.07"/>
    <n v="6.01"/>
    <n v="0.66"/>
    <n v="255.83"/>
    <x v="2"/>
    <x v="1"/>
  </r>
  <r>
    <n v="325"/>
    <x v="44"/>
    <s v="C1220"/>
    <x v="3"/>
    <x v="2"/>
    <n v="4"/>
    <n v="180"/>
    <n v="720"/>
    <n v="90"/>
    <n v="360"/>
    <n v="360"/>
    <x v="0"/>
    <x v="4"/>
    <x v="0"/>
    <n v="39.07"/>
    <n v="48.83"/>
    <n v="15.65"/>
    <n v="17.12"/>
    <n v="2.33"/>
    <n v="12.36"/>
    <n v="4.3899999999999997"/>
    <n v="0.43"/>
    <n v="219.82"/>
    <x v="2"/>
    <x v="1"/>
  </r>
  <r>
    <n v="326"/>
    <x v="63"/>
    <s v="C1063"/>
    <x v="6"/>
    <x v="0"/>
    <n v="3"/>
    <n v="180"/>
    <n v="540"/>
    <n v="75"/>
    <n v="225"/>
    <n v="315"/>
    <x v="4"/>
    <x v="3"/>
    <x v="5"/>
    <n v="38.979999999999997"/>
    <n v="47.92"/>
    <n v="11.91"/>
    <n v="22.01"/>
    <n v="2.25"/>
    <n v="10.58"/>
    <n v="1.07"/>
    <n v="2.72"/>
    <n v="177.56"/>
    <x v="1"/>
    <x v="0"/>
  </r>
  <r>
    <n v="327"/>
    <x v="85"/>
    <s v="C1107"/>
    <x v="4"/>
    <x v="0"/>
    <n v="3"/>
    <n v="120"/>
    <n v="360"/>
    <n v="50"/>
    <n v="150"/>
    <n v="210"/>
    <x v="3"/>
    <x v="4"/>
    <x v="0"/>
    <n v="29.24"/>
    <n v="40.89"/>
    <n v="13.24"/>
    <n v="4.17"/>
    <n v="1.02"/>
    <n v="2.37"/>
    <n v="7.54"/>
    <n v="1.89"/>
    <n v="109.64"/>
    <x v="1"/>
    <x v="1"/>
  </r>
  <r>
    <n v="328"/>
    <x v="141"/>
    <s v="C1226"/>
    <x v="1"/>
    <x v="0"/>
    <n v="4"/>
    <n v="220"/>
    <n v="880"/>
    <n v="100"/>
    <n v="400"/>
    <n v="480"/>
    <x v="2"/>
    <x v="4"/>
    <x v="5"/>
    <n v="32.53"/>
    <n v="40.97"/>
    <n v="5.59"/>
    <n v="2.75"/>
    <n v="0.47"/>
    <n v="9.82"/>
    <n v="6.53"/>
    <n v="1.19"/>
    <n v="380.15"/>
    <x v="2"/>
    <x v="0"/>
  </r>
  <r>
    <n v="329"/>
    <x v="63"/>
    <s v="C1214"/>
    <x v="7"/>
    <x v="2"/>
    <n v="1"/>
    <n v="150"/>
    <n v="150"/>
    <n v="70"/>
    <n v="70"/>
    <n v="80"/>
    <x v="1"/>
    <x v="1"/>
    <x v="1"/>
    <n v="38.020000000000003"/>
    <n v="17.97"/>
    <n v="10.69"/>
    <n v="5.79"/>
    <n v="4.83"/>
    <n v="11.98"/>
    <n v="1.17"/>
    <n v="0.95"/>
    <n v="-11.4"/>
    <x v="0"/>
    <x v="0"/>
  </r>
  <r>
    <n v="330"/>
    <x v="43"/>
    <s v="C1346"/>
    <x v="1"/>
    <x v="0"/>
    <n v="2"/>
    <n v="220"/>
    <n v="440"/>
    <n v="100"/>
    <n v="200"/>
    <n v="240"/>
    <x v="4"/>
    <x v="3"/>
    <x v="0"/>
    <n v="17.010000000000002"/>
    <n v="18.68"/>
    <n v="16.64"/>
    <n v="13.17"/>
    <n v="1.35"/>
    <n v="10.9"/>
    <n v="2.1"/>
    <n v="2.1"/>
    <n v="158.05000000000001"/>
    <x v="2"/>
    <x v="1"/>
  </r>
  <r>
    <n v="331"/>
    <x v="146"/>
    <s v="C1078"/>
    <x v="7"/>
    <x v="2"/>
    <n v="3"/>
    <n v="150"/>
    <n v="450"/>
    <n v="70"/>
    <n v="210"/>
    <n v="240"/>
    <x v="2"/>
    <x v="3"/>
    <x v="2"/>
    <n v="20.96"/>
    <n v="27.44"/>
    <n v="6.59"/>
    <n v="25.31"/>
    <n v="2.35"/>
    <n v="3.98"/>
    <n v="3.2"/>
    <n v="1.94"/>
    <n v="148.22999999999999"/>
    <x v="2"/>
    <x v="1"/>
  </r>
  <r>
    <n v="332"/>
    <x v="132"/>
    <s v="C1005"/>
    <x v="0"/>
    <x v="0"/>
    <n v="4"/>
    <n v="200"/>
    <n v="800"/>
    <n v="90"/>
    <n v="360"/>
    <n v="440"/>
    <x v="1"/>
    <x v="0"/>
    <x v="2"/>
    <n v="24.87"/>
    <n v="25.14"/>
    <n v="8.0399999999999991"/>
    <n v="2.02"/>
    <n v="3.33"/>
    <n v="10.01"/>
    <n v="7.08"/>
    <n v="2.31"/>
    <n v="357.2"/>
    <x v="1"/>
    <x v="1"/>
  </r>
  <r>
    <n v="333"/>
    <x v="147"/>
    <s v="C1041"/>
    <x v="1"/>
    <x v="0"/>
    <n v="3"/>
    <n v="220"/>
    <n v="660"/>
    <n v="100"/>
    <n v="300"/>
    <n v="360"/>
    <x v="2"/>
    <x v="1"/>
    <x v="2"/>
    <n v="11.65"/>
    <n v="36.380000000000003"/>
    <n v="14.5"/>
    <n v="24.98"/>
    <n v="1.51"/>
    <n v="13.7"/>
    <n v="5.44"/>
    <n v="0.86"/>
    <n v="250.98"/>
    <x v="1"/>
    <x v="0"/>
  </r>
  <r>
    <n v="334"/>
    <x v="118"/>
    <s v="C1281"/>
    <x v="6"/>
    <x v="0"/>
    <n v="1"/>
    <n v="180"/>
    <n v="180"/>
    <n v="75"/>
    <n v="75"/>
    <n v="105"/>
    <x v="2"/>
    <x v="0"/>
    <x v="0"/>
    <n v="37.86"/>
    <n v="22.78"/>
    <n v="9.66"/>
    <n v="25.11"/>
    <n v="2.4500000000000002"/>
    <n v="14.87"/>
    <n v="7.37"/>
    <n v="1.23"/>
    <n v="-16.329999999999998"/>
    <x v="1"/>
    <x v="0"/>
  </r>
  <r>
    <n v="335"/>
    <x v="77"/>
    <s v="C1315"/>
    <x v="1"/>
    <x v="0"/>
    <n v="1"/>
    <n v="220"/>
    <n v="220"/>
    <n v="100"/>
    <n v="100"/>
    <n v="120"/>
    <x v="1"/>
    <x v="2"/>
    <x v="3"/>
    <n v="29.27"/>
    <n v="31.77"/>
    <n v="10.3"/>
    <n v="33.299999999999997"/>
    <n v="2.74"/>
    <n v="10.85"/>
    <n v="2.4900000000000002"/>
    <n v="1.07"/>
    <n v="-1.79"/>
    <x v="0"/>
    <x v="1"/>
  </r>
  <r>
    <n v="336"/>
    <x v="91"/>
    <s v="C1341"/>
    <x v="5"/>
    <x v="0"/>
    <n v="2"/>
    <n v="250"/>
    <n v="500"/>
    <n v="110"/>
    <n v="220"/>
    <n v="280"/>
    <x v="1"/>
    <x v="1"/>
    <x v="5"/>
    <n v="31.19"/>
    <n v="35.99"/>
    <n v="11.46"/>
    <n v="12.06"/>
    <n v="3.58"/>
    <n v="6.42"/>
    <n v="4.8899999999999997"/>
    <n v="0.87"/>
    <n v="173.54"/>
    <x v="2"/>
    <x v="0"/>
  </r>
  <r>
    <n v="337"/>
    <x v="148"/>
    <s v="C1246"/>
    <x v="4"/>
    <x v="0"/>
    <n v="1"/>
    <n v="120"/>
    <n v="120"/>
    <n v="50"/>
    <n v="50"/>
    <n v="70"/>
    <x v="3"/>
    <x v="1"/>
    <x v="2"/>
    <n v="38.26"/>
    <n v="25.81"/>
    <n v="8.6300000000000008"/>
    <n v="10.51"/>
    <n v="2.65"/>
    <n v="9.92"/>
    <n v="7.11"/>
    <n v="2.7"/>
    <n v="-35.590000000000003"/>
    <x v="0"/>
    <x v="1"/>
  </r>
  <r>
    <n v="338"/>
    <x v="149"/>
    <s v="C1163"/>
    <x v="5"/>
    <x v="0"/>
    <n v="3"/>
    <n v="250"/>
    <n v="750"/>
    <n v="110"/>
    <n v="330"/>
    <n v="420"/>
    <x v="1"/>
    <x v="2"/>
    <x v="0"/>
    <n v="26.31"/>
    <n v="57.41"/>
    <n v="16.68"/>
    <n v="16.5"/>
    <n v="4.3499999999999996"/>
    <n v="3.69"/>
    <n v="2.57"/>
    <n v="1.54"/>
    <n v="290.95"/>
    <x v="1"/>
    <x v="0"/>
  </r>
  <r>
    <n v="339"/>
    <x v="128"/>
    <s v="C1281"/>
    <x v="7"/>
    <x v="2"/>
    <n v="1"/>
    <n v="150"/>
    <n v="150"/>
    <n v="70"/>
    <n v="70"/>
    <n v="80"/>
    <x v="1"/>
    <x v="1"/>
    <x v="3"/>
    <n v="10.14"/>
    <n v="53.64"/>
    <n v="19.100000000000001"/>
    <n v="0.73"/>
    <n v="3.83"/>
    <n v="12.94"/>
    <n v="6.57"/>
    <n v="0.37"/>
    <n v="-27.32"/>
    <x v="2"/>
    <x v="0"/>
  </r>
  <r>
    <n v="340"/>
    <x v="150"/>
    <s v="C1205"/>
    <x v="2"/>
    <x v="1"/>
    <n v="3"/>
    <n v="80"/>
    <n v="240"/>
    <n v="30"/>
    <n v="90"/>
    <n v="150"/>
    <x v="1"/>
    <x v="3"/>
    <x v="0"/>
    <n v="18.670000000000002"/>
    <n v="32.44"/>
    <n v="5.19"/>
    <n v="30.13"/>
    <n v="1.36"/>
    <n v="5.08"/>
    <n v="1.43"/>
    <n v="1.32"/>
    <n v="54.38"/>
    <x v="1"/>
    <x v="0"/>
  </r>
  <r>
    <n v="341"/>
    <x v="102"/>
    <s v="C1018"/>
    <x v="6"/>
    <x v="0"/>
    <n v="1"/>
    <n v="180"/>
    <n v="180"/>
    <n v="75"/>
    <n v="75"/>
    <n v="105"/>
    <x v="2"/>
    <x v="1"/>
    <x v="5"/>
    <n v="17.239999999999998"/>
    <n v="20.07"/>
    <n v="5.14"/>
    <n v="19.39"/>
    <n v="3.47"/>
    <n v="7.98"/>
    <n v="7.99"/>
    <n v="2.84"/>
    <n v="20.88"/>
    <x v="1"/>
    <x v="0"/>
  </r>
  <r>
    <n v="342"/>
    <x v="140"/>
    <s v="C1204"/>
    <x v="5"/>
    <x v="0"/>
    <n v="1"/>
    <n v="250"/>
    <n v="250"/>
    <n v="110"/>
    <n v="110"/>
    <n v="140"/>
    <x v="3"/>
    <x v="1"/>
    <x v="4"/>
    <n v="10.17"/>
    <n v="35.18"/>
    <n v="16.559999999999999"/>
    <n v="32.85"/>
    <n v="1.83"/>
    <n v="14.54"/>
    <n v="4.51"/>
    <n v="7.0000000000000007E-2"/>
    <n v="24.29"/>
    <x v="0"/>
    <x v="1"/>
  </r>
  <r>
    <n v="343"/>
    <x v="150"/>
    <s v="C1250"/>
    <x v="6"/>
    <x v="0"/>
    <n v="3"/>
    <n v="180"/>
    <n v="540"/>
    <n v="75"/>
    <n v="225"/>
    <n v="315"/>
    <x v="2"/>
    <x v="4"/>
    <x v="4"/>
    <n v="39.61"/>
    <n v="28.75"/>
    <n v="10.35"/>
    <n v="22.4"/>
    <n v="0.09"/>
    <n v="8.61"/>
    <n v="1.93"/>
    <n v="0.15"/>
    <n v="203.11"/>
    <x v="1"/>
    <x v="0"/>
  </r>
  <r>
    <n v="344"/>
    <x v="77"/>
    <s v="C1168"/>
    <x v="0"/>
    <x v="0"/>
    <n v="4"/>
    <n v="200"/>
    <n v="800"/>
    <n v="90"/>
    <n v="360"/>
    <n v="440"/>
    <x v="4"/>
    <x v="3"/>
    <x v="1"/>
    <n v="25.68"/>
    <n v="41.17"/>
    <n v="5.23"/>
    <n v="3.38"/>
    <n v="4.45"/>
    <n v="10.039999999999999"/>
    <n v="1.1000000000000001"/>
    <n v="0.78"/>
    <n v="348.17"/>
    <x v="2"/>
    <x v="0"/>
  </r>
  <r>
    <n v="345"/>
    <x v="31"/>
    <s v="C1222"/>
    <x v="4"/>
    <x v="0"/>
    <n v="1"/>
    <n v="120"/>
    <n v="120"/>
    <n v="50"/>
    <n v="50"/>
    <n v="70"/>
    <x v="1"/>
    <x v="2"/>
    <x v="2"/>
    <n v="35.32"/>
    <n v="29.68"/>
    <n v="17.489999999999998"/>
    <n v="14.86"/>
    <n v="1.29"/>
    <n v="11.16"/>
    <n v="3.85"/>
    <n v="1.05"/>
    <n v="-44.7"/>
    <x v="1"/>
    <x v="1"/>
  </r>
  <r>
    <n v="346"/>
    <x v="34"/>
    <s v="C1102"/>
    <x v="2"/>
    <x v="1"/>
    <n v="2"/>
    <n v="80"/>
    <n v="160"/>
    <n v="30"/>
    <n v="60"/>
    <n v="100"/>
    <x v="1"/>
    <x v="1"/>
    <x v="3"/>
    <n v="23.51"/>
    <n v="46.06"/>
    <n v="10.67"/>
    <n v="6.87"/>
    <n v="2.54"/>
    <n v="11.11"/>
    <n v="1.1299999999999999"/>
    <n v="2.34"/>
    <n v="-4.2300000000000004"/>
    <x v="2"/>
    <x v="0"/>
  </r>
  <r>
    <n v="347"/>
    <x v="36"/>
    <s v="C1211"/>
    <x v="6"/>
    <x v="0"/>
    <n v="1"/>
    <n v="180"/>
    <n v="180"/>
    <n v="75"/>
    <n v="75"/>
    <n v="105"/>
    <x v="0"/>
    <x v="1"/>
    <x v="5"/>
    <n v="28.27"/>
    <n v="29.96"/>
    <n v="7.69"/>
    <n v="14.87"/>
    <n v="4.1100000000000003"/>
    <n v="11.27"/>
    <n v="5.75"/>
    <n v="1.85"/>
    <n v="1.23"/>
    <x v="2"/>
    <x v="0"/>
  </r>
  <r>
    <n v="348"/>
    <x v="73"/>
    <s v="C1061"/>
    <x v="5"/>
    <x v="0"/>
    <n v="1"/>
    <n v="250"/>
    <n v="250"/>
    <n v="110"/>
    <n v="110"/>
    <n v="140"/>
    <x v="0"/>
    <x v="1"/>
    <x v="2"/>
    <n v="12.99"/>
    <n v="38.35"/>
    <n v="6.07"/>
    <n v="1.62"/>
    <n v="3.73"/>
    <n v="14.34"/>
    <n v="6.45"/>
    <n v="1.82"/>
    <n v="54.63"/>
    <x v="2"/>
    <x v="1"/>
  </r>
  <r>
    <n v="349"/>
    <x v="110"/>
    <s v="C1052"/>
    <x v="2"/>
    <x v="1"/>
    <n v="1"/>
    <n v="80"/>
    <n v="80"/>
    <n v="30"/>
    <n v="30"/>
    <n v="50"/>
    <x v="1"/>
    <x v="3"/>
    <x v="5"/>
    <n v="22.29"/>
    <n v="17.12"/>
    <n v="10"/>
    <n v="29.6"/>
    <n v="4.4800000000000004"/>
    <n v="9.16"/>
    <n v="3.63"/>
    <n v="0.66"/>
    <n v="-46.94"/>
    <x v="1"/>
    <x v="0"/>
  </r>
  <r>
    <n v="350"/>
    <x v="130"/>
    <s v="C1274"/>
    <x v="4"/>
    <x v="0"/>
    <n v="1"/>
    <n v="120"/>
    <n v="120"/>
    <n v="50"/>
    <n v="50"/>
    <n v="70"/>
    <x v="1"/>
    <x v="1"/>
    <x v="3"/>
    <n v="12.51"/>
    <n v="57.56"/>
    <n v="10.16"/>
    <n v="19.11"/>
    <n v="4.53"/>
    <n v="14.59"/>
    <n v="1.03"/>
    <n v="0.13"/>
    <n v="-49.62"/>
    <x v="2"/>
    <x v="1"/>
  </r>
  <r>
    <n v="351"/>
    <x v="81"/>
    <s v="C1212"/>
    <x v="1"/>
    <x v="0"/>
    <n v="2"/>
    <n v="220"/>
    <n v="440"/>
    <n v="100"/>
    <n v="200"/>
    <n v="240"/>
    <x v="2"/>
    <x v="1"/>
    <x v="5"/>
    <n v="18.72"/>
    <n v="42.03"/>
    <n v="16.39"/>
    <n v="3.14"/>
    <n v="4.5"/>
    <n v="2.84"/>
    <n v="6.49"/>
    <n v="2.88"/>
    <n v="143.01"/>
    <x v="1"/>
    <x v="1"/>
  </r>
  <r>
    <n v="352"/>
    <x v="48"/>
    <s v="C1043"/>
    <x v="6"/>
    <x v="0"/>
    <n v="4"/>
    <n v="180"/>
    <n v="720"/>
    <n v="75"/>
    <n v="300"/>
    <n v="420"/>
    <x v="0"/>
    <x v="2"/>
    <x v="4"/>
    <n v="21.54"/>
    <n v="16.96"/>
    <n v="9.74"/>
    <n v="19.34"/>
    <n v="2.79"/>
    <n v="3.51"/>
    <n v="1.69"/>
    <n v="2.2999999999999998"/>
    <n v="342.13"/>
    <x v="0"/>
    <x v="0"/>
  </r>
  <r>
    <n v="353"/>
    <x v="113"/>
    <s v="C1185"/>
    <x v="6"/>
    <x v="0"/>
    <n v="4"/>
    <n v="180"/>
    <n v="720"/>
    <n v="75"/>
    <n v="300"/>
    <n v="420"/>
    <x v="4"/>
    <x v="0"/>
    <x v="0"/>
    <n v="26.85"/>
    <n v="45.62"/>
    <n v="6.03"/>
    <n v="26.83"/>
    <n v="1.1200000000000001"/>
    <n v="8.44"/>
    <n v="2.4"/>
    <n v="2.46"/>
    <n v="300.25"/>
    <x v="0"/>
    <x v="1"/>
  </r>
  <r>
    <n v="354"/>
    <x v="4"/>
    <s v="C1233"/>
    <x v="0"/>
    <x v="0"/>
    <n v="2"/>
    <n v="200"/>
    <n v="400"/>
    <n v="90"/>
    <n v="180"/>
    <n v="220"/>
    <x v="1"/>
    <x v="1"/>
    <x v="0"/>
    <n v="29.83"/>
    <n v="43.16"/>
    <n v="12.9"/>
    <n v="24.61"/>
    <n v="2.39"/>
    <n v="11.67"/>
    <n v="2.36"/>
    <n v="0.17"/>
    <n v="92.91"/>
    <x v="1"/>
    <x v="1"/>
  </r>
  <r>
    <n v="355"/>
    <x v="0"/>
    <s v="C1024"/>
    <x v="5"/>
    <x v="0"/>
    <n v="2"/>
    <n v="250"/>
    <n v="500"/>
    <n v="110"/>
    <n v="220"/>
    <n v="280"/>
    <x v="0"/>
    <x v="0"/>
    <x v="4"/>
    <n v="34.950000000000003"/>
    <n v="57.27"/>
    <n v="14.37"/>
    <n v="4.01"/>
    <n v="3.21"/>
    <n v="5.76"/>
    <n v="3.08"/>
    <n v="1.89"/>
    <n v="155.46"/>
    <x v="1"/>
    <x v="1"/>
  </r>
  <r>
    <n v="356"/>
    <x v="151"/>
    <s v="C1021"/>
    <x v="6"/>
    <x v="0"/>
    <n v="4"/>
    <n v="180"/>
    <n v="720"/>
    <n v="75"/>
    <n v="300"/>
    <n v="420"/>
    <x v="0"/>
    <x v="1"/>
    <x v="4"/>
    <n v="23.7"/>
    <n v="59.55"/>
    <n v="16.02"/>
    <n v="11.45"/>
    <n v="1.37"/>
    <n v="10.81"/>
    <n v="1.9"/>
    <n v="2.0499999999999998"/>
    <n v="293.14999999999998"/>
    <x v="0"/>
    <x v="0"/>
  </r>
  <r>
    <n v="357"/>
    <x v="82"/>
    <s v="C1110"/>
    <x v="7"/>
    <x v="2"/>
    <n v="4"/>
    <n v="150"/>
    <n v="600"/>
    <n v="70"/>
    <n v="280"/>
    <n v="320"/>
    <x v="1"/>
    <x v="3"/>
    <x v="3"/>
    <n v="37.76"/>
    <n v="21.07"/>
    <n v="8.6300000000000008"/>
    <n v="19.97"/>
    <n v="1.3"/>
    <n v="13.08"/>
    <n v="6.91"/>
    <n v="2.37"/>
    <n v="208.91"/>
    <x v="2"/>
    <x v="1"/>
  </r>
  <r>
    <n v="358"/>
    <x v="74"/>
    <s v="C1308"/>
    <x v="1"/>
    <x v="0"/>
    <n v="3"/>
    <n v="220"/>
    <n v="660"/>
    <n v="100"/>
    <n v="300"/>
    <n v="360"/>
    <x v="2"/>
    <x v="4"/>
    <x v="0"/>
    <n v="27.62"/>
    <n v="33.56"/>
    <n v="17.12"/>
    <n v="6.73"/>
    <n v="2.02"/>
    <n v="2.38"/>
    <n v="5.09"/>
    <n v="1.78"/>
    <n v="263.7"/>
    <x v="2"/>
    <x v="1"/>
  </r>
  <r>
    <n v="359"/>
    <x v="119"/>
    <s v="C1139"/>
    <x v="7"/>
    <x v="2"/>
    <n v="2"/>
    <n v="150"/>
    <n v="300"/>
    <n v="70"/>
    <n v="140"/>
    <n v="160"/>
    <x v="4"/>
    <x v="4"/>
    <x v="5"/>
    <n v="19.87"/>
    <n v="58.53"/>
    <n v="7.01"/>
    <n v="0.01"/>
    <n v="3.97"/>
    <n v="14.59"/>
    <n v="5.92"/>
    <n v="0.92"/>
    <n v="49.18"/>
    <x v="0"/>
    <x v="1"/>
  </r>
  <r>
    <n v="360"/>
    <x v="113"/>
    <s v="C1254"/>
    <x v="6"/>
    <x v="0"/>
    <n v="4"/>
    <n v="180"/>
    <n v="720"/>
    <n v="75"/>
    <n v="300"/>
    <n v="420"/>
    <x v="1"/>
    <x v="4"/>
    <x v="4"/>
    <n v="14.4"/>
    <n v="32.53"/>
    <n v="8.02"/>
    <n v="16.39"/>
    <n v="0.53"/>
    <n v="7.95"/>
    <n v="1.55"/>
    <n v="0.7"/>
    <n v="337.93"/>
    <x v="1"/>
    <x v="1"/>
  </r>
  <r>
    <n v="361"/>
    <x v="9"/>
    <s v="C1050"/>
    <x v="4"/>
    <x v="0"/>
    <n v="1"/>
    <n v="120"/>
    <n v="120"/>
    <n v="50"/>
    <n v="50"/>
    <n v="70"/>
    <x v="1"/>
    <x v="1"/>
    <x v="2"/>
    <n v="11.41"/>
    <n v="23.3"/>
    <n v="6.07"/>
    <n v="25.47"/>
    <n v="4.29"/>
    <n v="13.17"/>
    <n v="2.3199999999999998"/>
    <n v="2.17"/>
    <n v="-18.2"/>
    <x v="0"/>
    <x v="0"/>
  </r>
  <r>
    <n v="362"/>
    <x v="152"/>
    <s v="C1127"/>
    <x v="1"/>
    <x v="0"/>
    <n v="2"/>
    <n v="220"/>
    <n v="440"/>
    <n v="100"/>
    <n v="200"/>
    <n v="240"/>
    <x v="2"/>
    <x v="1"/>
    <x v="0"/>
    <n v="39.44"/>
    <n v="41.94"/>
    <n v="8.73"/>
    <n v="11.4"/>
    <n v="0.48"/>
    <n v="14.74"/>
    <n v="5.17"/>
    <n v="2.71"/>
    <n v="115.39"/>
    <x v="2"/>
    <x v="1"/>
  </r>
  <r>
    <n v="363"/>
    <x v="71"/>
    <s v="C1116"/>
    <x v="1"/>
    <x v="0"/>
    <n v="3"/>
    <n v="220"/>
    <n v="660"/>
    <n v="100"/>
    <n v="300"/>
    <n v="360"/>
    <x v="1"/>
    <x v="4"/>
    <x v="5"/>
    <n v="31.93"/>
    <n v="15.21"/>
    <n v="11.36"/>
    <n v="23.61"/>
    <n v="0.56999999999999995"/>
    <n v="11.6"/>
    <n v="6.81"/>
    <n v="2.84"/>
    <n v="256.07"/>
    <x v="2"/>
    <x v="0"/>
  </r>
  <r>
    <n v="364"/>
    <x v="136"/>
    <s v="C1043"/>
    <x v="6"/>
    <x v="0"/>
    <n v="1"/>
    <n v="180"/>
    <n v="180"/>
    <n v="75"/>
    <n v="75"/>
    <n v="105"/>
    <x v="3"/>
    <x v="0"/>
    <x v="4"/>
    <n v="31.08"/>
    <n v="30.97"/>
    <n v="19.93"/>
    <n v="10.48"/>
    <n v="0.65"/>
    <n v="12.09"/>
    <n v="5.39"/>
    <n v="1.74"/>
    <n v="-7.33"/>
    <x v="1"/>
    <x v="0"/>
  </r>
  <r>
    <n v="365"/>
    <x v="52"/>
    <s v="C1094"/>
    <x v="7"/>
    <x v="2"/>
    <n v="3"/>
    <n v="150"/>
    <n v="450"/>
    <n v="70"/>
    <n v="210"/>
    <n v="240"/>
    <x v="1"/>
    <x v="0"/>
    <x v="4"/>
    <n v="22.68"/>
    <n v="58.86"/>
    <n v="10.38"/>
    <n v="31.34"/>
    <n v="4.2699999999999996"/>
    <n v="4.8099999999999996"/>
    <n v="4.96"/>
    <n v="1.96"/>
    <n v="100.74"/>
    <x v="0"/>
    <x v="1"/>
  </r>
  <r>
    <n v="366"/>
    <x v="144"/>
    <s v="C1115"/>
    <x v="0"/>
    <x v="0"/>
    <n v="2"/>
    <n v="200"/>
    <n v="400"/>
    <n v="90"/>
    <n v="180"/>
    <n v="220"/>
    <x v="0"/>
    <x v="1"/>
    <x v="5"/>
    <n v="36.729999999999997"/>
    <n v="42.13"/>
    <n v="11.34"/>
    <n v="3.95"/>
    <n v="0.95"/>
    <n v="8.7200000000000006"/>
    <n v="3.24"/>
    <n v="0.74"/>
    <n v="112.2"/>
    <x v="2"/>
    <x v="1"/>
  </r>
  <r>
    <n v="367"/>
    <x v="55"/>
    <s v="C1145"/>
    <x v="0"/>
    <x v="0"/>
    <n v="2"/>
    <n v="200"/>
    <n v="400"/>
    <n v="90"/>
    <n v="180"/>
    <n v="220"/>
    <x v="3"/>
    <x v="4"/>
    <x v="3"/>
    <n v="28.28"/>
    <n v="52.49"/>
    <n v="7.05"/>
    <n v="31.78"/>
    <n v="2.84"/>
    <n v="4.1900000000000004"/>
    <n v="5.16"/>
    <n v="0.05"/>
    <n v="88.16"/>
    <x v="1"/>
    <x v="1"/>
  </r>
  <r>
    <n v="368"/>
    <x v="6"/>
    <s v="C1021"/>
    <x v="4"/>
    <x v="0"/>
    <n v="3"/>
    <n v="120"/>
    <n v="360"/>
    <n v="50"/>
    <n v="150"/>
    <n v="210"/>
    <x v="2"/>
    <x v="1"/>
    <x v="2"/>
    <n v="26.9"/>
    <n v="23.78"/>
    <n v="9.9"/>
    <n v="11.61"/>
    <n v="4.95"/>
    <n v="10.83"/>
    <n v="5.86"/>
    <n v="2.2200000000000002"/>
    <n v="113.95"/>
    <x v="0"/>
    <x v="0"/>
  </r>
  <r>
    <n v="369"/>
    <x v="83"/>
    <s v="C1097"/>
    <x v="7"/>
    <x v="2"/>
    <n v="4"/>
    <n v="150"/>
    <n v="600"/>
    <n v="70"/>
    <n v="280"/>
    <n v="320"/>
    <x v="1"/>
    <x v="0"/>
    <x v="2"/>
    <n v="18.78"/>
    <n v="28.5"/>
    <n v="19.13"/>
    <n v="13.71"/>
    <n v="0.32"/>
    <n v="5.19"/>
    <n v="4.21"/>
    <n v="1.81"/>
    <n v="228.35"/>
    <x v="0"/>
    <x v="1"/>
  </r>
  <r>
    <n v="370"/>
    <x v="39"/>
    <s v="C1336"/>
    <x v="6"/>
    <x v="0"/>
    <n v="3"/>
    <n v="180"/>
    <n v="540"/>
    <n v="75"/>
    <n v="225"/>
    <n v="315"/>
    <x v="4"/>
    <x v="1"/>
    <x v="5"/>
    <n v="35.369999999999997"/>
    <n v="15.33"/>
    <n v="8.5399999999999991"/>
    <n v="19.440000000000001"/>
    <n v="2.48"/>
    <n v="10.86"/>
    <n v="3.37"/>
    <n v="0.14000000000000001"/>
    <n v="219.47"/>
    <x v="2"/>
    <x v="1"/>
  </r>
  <r>
    <n v="371"/>
    <x v="14"/>
    <s v="C1028"/>
    <x v="7"/>
    <x v="2"/>
    <n v="4"/>
    <n v="150"/>
    <n v="600"/>
    <n v="70"/>
    <n v="280"/>
    <n v="320"/>
    <x v="0"/>
    <x v="4"/>
    <x v="3"/>
    <n v="28.93"/>
    <n v="48.83"/>
    <n v="19.46"/>
    <n v="10.64"/>
    <n v="1.44"/>
    <n v="5.44"/>
    <n v="2.95"/>
    <n v="1.61"/>
    <n v="200.7"/>
    <x v="2"/>
    <x v="1"/>
  </r>
  <r>
    <n v="372"/>
    <x v="85"/>
    <s v="C1318"/>
    <x v="7"/>
    <x v="2"/>
    <n v="3"/>
    <n v="150"/>
    <n v="450"/>
    <n v="70"/>
    <n v="210"/>
    <n v="240"/>
    <x v="0"/>
    <x v="1"/>
    <x v="1"/>
    <n v="15.32"/>
    <n v="54.39"/>
    <n v="18.38"/>
    <n v="15.78"/>
    <n v="4.0599999999999996"/>
    <n v="7.72"/>
    <n v="5.55"/>
    <n v="0.99"/>
    <n v="117.81"/>
    <x v="2"/>
    <x v="0"/>
  </r>
  <r>
    <n v="373"/>
    <x v="137"/>
    <s v="C1219"/>
    <x v="2"/>
    <x v="1"/>
    <n v="4"/>
    <n v="80"/>
    <n v="320"/>
    <n v="30"/>
    <n v="120"/>
    <n v="200"/>
    <x v="3"/>
    <x v="2"/>
    <x v="0"/>
    <n v="38.840000000000003"/>
    <n v="49.55"/>
    <n v="12.83"/>
    <n v="30.65"/>
    <n v="1.94"/>
    <n v="2.25"/>
    <n v="7.37"/>
    <n v="1.1200000000000001"/>
    <n v="55.45"/>
    <x v="0"/>
    <x v="1"/>
  </r>
  <r>
    <n v="374"/>
    <x v="153"/>
    <s v="C1078"/>
    <x v="0"/>
    <x v="0"/>
    <n v="4"/>
    <n v="200"/>
    <n v="800"/>
    <n v="90"/>
    <n v="360"/>
    <n v="440"/>
    <x v="3"/>
    <x v="3"/>
    <x v="5"/>
    <n v="38.81"/>
    <n v="47.98"/>
    <n v="9.7899999999999991"/>
    <n v="6.46"/>
    <n v="2.15"/>
    <n v="14.35"/>
    <n v="1.83"/>
    <n v="2.86"/>
    <n v="315.77"/>
    <x v="2"/>
    <x v="0"/>
  </r>
  <r>
    <n v="375"/>
    <x v="49"/>
    <s v="C1266"/>
    <x v="6"/>
    <x v="0"/>
    <n v="3"/>
    <n v="180"/>
    <n v="540"/>
    <n v="75"/>
    <n v="225"/>
    <n v="315"/>
    <x v="0"/>
    <x v="3"/>
    <x v="5"/>
    <n v="14.71"/>
    <n v="23.9"/>
    <n v="19.170000000000002"/>
    <n v="11.48"/>
    <n v="4.72"/>
    <n v="13.77"/>
    <n v="2.4"/>
    <n v="0.76"/>
    <n v="224.09"/>
    <x v="0"/>
    <x v="0"/>
  </r>
  <r>
    <n v="376"/>
    <x v="120"/>
    <s v="C1049"/>
    <x v="6"/>
    <x v="0"/>
    <n v="1"/>
    <n v="180"/>
    <n v="180"/>
    <n v="75"/>
    <n v="75"/>
    <n v="105"/>
    <x v="4"/>
    <x v="2"/>
    <x v="4"/>
    <n v="31.57"/>
    <n v="16.63"/>
    <n v="17.79"/>
    <n v="25.75"/>
    <n v="2.86"/>
    <n v="6.25"/>
    <n v="6.75"/>
    <n v="2.15"/>
    <n v="-4.75"/>
    <x v="2"/>
    <x v="1"/>
  </r>
  <r>
    <n v="377"/>
    <x v="9"/>
    <s v="C1102"/>
    <x v="0"/>
    <x v="0"/>
    <n v="3"/>
    <n v="200"/>
    <n v="600"/>
    <n v="90"/>
    <n v="270"/>
    <n v="330"/>
    <x v="2"/>
    <x v="4"/>
    <x v="0"/>
    <n v="35.33"/>
    <n v="15.94"/>
    <n v="10.34"/>
    <n v="15.68"/>
    <n v="4.37"/>
    <n v="4.63"/>
    <n v="5.08"/>
    <n v="2.62"/>
    <n v="236.01"/>
    <x v="2"/>
    <x v="0"/>
  </r>
  <r>
    <n v="378"/>
    <x v="55"/>
    <s v="C1212"/>
    <x v="7"/>
    <x v="2"/>
    <n v="1"/>
    <n v="150"/>
    <n v="150"/>
    <n v="70"/>
    <n v="70"/>
    <n v="80"/>
    <x v="2"/>
    <x v="4"/>
    <x v="2"/>
    <n v="26.32"/>
    <n v="49.53"/>
    <n v="14.34"/>
    <n v="24.67"/>
    <n v="0.99"/>
    <n v="4.3499999999999996"/>
    <n v="6.07"/>
    <n v="0.86"/>
    <n v="-47.13"/>
    <x v="1"/>
    <x v="1"/>
  </r>
  <r>
    <n v="379"/>
    <x v="26"/>
    <s v="C1321"/>
    <x v="1"/>
    <x v="0"/>
    <n v="2"/>
    <n v="220"/>
    <n v="440"/>
    <n v="100"/>
    <n v="200"/>
    <n v="240"/>
    <x v="2"/>
    <x v="0"/>
    <x v="0"/>
    <n v="14.26"/>
    <n v="23.91"/>
    <n v="11"/>
    <n v="3.15"/>
    <n v="2.29"/>
    <n v="3.48"/>
    <n v="2.77"/>
    <n v="0.83"/>
    <n v="178.31"/>
    <x v="0"/>
    <x v="0"/>
  </r>
  <r>
    <n v="380"/>
    <x v="144"/>
    <s v="C1040"/>
    <x v="7"/>
    <x v="2"/>
    <n v="2"/>
    <n v="150"/>
    <n v="300"/>
    <n v="70"/>
    <n v="140"/>
    <n v="160"/>
    <x v="1"/>
    <x v="0"/>
    <x v="2"/>
    <n v="17.190000000000001"/>
    <n v="52.72"/>
    <n v="9.32"/>
    <n v="4.3099999999999996"/>
    <n v="3.93"/>
    <n v="5.57"/>
    <n v="1.54"/>
    <n v="1.73"/>
    <n v="63.69"/>
    <x v="2"/>
    <x v="1"/>
  </r>
  <r>
    <n v="381"/>
    <x v="115"/>
    <s v="C1319"/>
    <x v="4"/>
    <x v="0"/>
    <n v="2"/>
    <n v="120"/>
    <n v="240"/>
    <n v="50"/>
    <n v="100"/>
    <n v="140"/>
    <x v="4"/>
    <x v="4"/>
    <x v="3"/>
    <n v="16.28"/>
    <n v="59.51"/>
    <n v="6.83"/>
    <n v="27.99"/>
    <n v="3.62"/>
    <n v="14.22"/>
    <n v="3.78"/>
    <n v="1.88"/>
    <n v="5.89"/>
    <x v="2"/>
    <x v="0"/>
  </r>
  <r>
    <n v="382"/>
    <x v="76"/>
    <s v="C1344"/>
    <x v="2"/>
    <x v="1"/>
    <n v="2"/>
    <n v="80"/>
    <n v="160"/>
    <n v="30"/>
    <n v="60"/>
    <n v="100"/>
    <x v="1"/>
    <x v="2"/>
    <x v="5"/>
    <n v="38.86"/>
    <n v="33.39"/>
    <n v="15.62"/>
    <n v="3.58"/>
    <n v="1.26"/>
    <n v="11.26"/>
    <n v="6.85"/>
    <n v="0.35"/>
    <n v="-11.17"/>
    <x v="2"/>
    <x v="1"/>
  </r>
  <r>
    <n v="383"/>
    <x v="97"/>
    <s v="C1291"/>
    <x v="5"/>
    <x v="0"/>
    <n v="3"/>
    <n v="250"/>
    <n v="750"/>
    <n v="110"/>
    <n v="330"/>
    <n v="420"/>
    <x v="3"/>
    <x v="0"/>
    <x v="2"/>
    <n v="11.5"/>
    <n v="19.48"/>
    <n v="10.24"/>
    <n v="0.21"/>
    <n v="2.36"/>
    <n v="11.82"/>
    <n v="1.9"/>
    <n v="0.65"/>
    <n v="361.84"/>
    <x v="2"/>
    <x v="1"/>
  </r>
  <r>
    <n v="384"/>
    <x v="0"/>
    <s v="C1027"/>
    <x v="4"/>
    <x v="0"/>
    <n v="3"/>
    <n v="120"/>
    <n v="360"/>
    <n v="50"/>
    <n v="150"/>
    <n v="210"/>
    <x v="4"/>
    <x v="3"/>
    <x v="4"/>
    <n v="19.53"/>
    <n v="38.29"/>
    <n v="13.91"/>
    <n v="17.61"/>
    <n v="2.96"/>
    <n v="10.6"/>
    <n v="2.7"/>
    <n v="1.63"/>
    <n v="102.77"/>
    <x v="2"/>
    <x v="1"/>
  </r>
  <r>
    <n v="385"/>
    <x v="21"/>
    <s v="C1294"/>
    <x v="5"/>
    <x v="0"/>
    <n v="2"/>
    <n v="250"/>
    <n v="500"/>
    <n v="110"/>
    <n v="220"/>
    <n v="280"/>
    <x v="1"/>
    <x v="4"/>
    <x v="4"/>
    <n v="10.58"/>
    <n v="54.34"/>
    <n v="17.82"/>
    <n v="24.4"/>
    <n v="0.56999999999999995"/>
    <n v="3.14"/>
    <n v="1.99"/>
    <n v="2.66"/>
    <n v="164.5"/>
    <x v="2"/>
    <x v="1"/>
  </r>
  <r>
    <n v="386"/>
    <x v="110"/>
    <s v="C1308"/>
    <x v="0"/>
    <x v="0"/>
    <n v="1"/>
    <n v="200"/>
    <n v="200"/>
    <n v="90"/>
    <n v="90"/>
    <n v="110"/>
    <x v="1"/>
    <x v="2"/>
    <x v="4"/>
    <n v="14.89"/>
    <n v="17.47"/>
    <n v="19"/>
    <n v="20.98"/>
    <n v="0.43"/>
    <n v="13.16"/>
    <n v="3.77"/>
    <n v="2.62"/>
    <n v="17.68"/>
    <x v="0"/>
    <x v="1"/>
  </r>
  <r>
    <n v="387"/>
    <x v="154"/>
    <s v="C1161"/>
    <x v="0"/>
    <x v="0"/>
    <n v="3"/>
    <n v="200"/>
    <n v="600"/>
    <n v="90"/>
    <n v="270"/>
    <n v="330"/>
    <x v="4"/>
    <x v="4"/>
    <x v="0"/>
    <n v="19.829999999999998"/>
    <n v="37.880000000000003"/>
    <n v="5.59"/>
    <n v="28.8"/>
    <n v="4.2"/>
    <n v="2.54"/>
    <n v="4.54"/>
    <n v="0.09"/>
    <n v="226.53"/>
    <x v="1"/>
    <x v="1"/>
  </r>
  <r>
    <n v="388"/>
    <x v="96"/>
    <s v="C1306"/>
    <x v="0"/>
    <x v="0"/>
    <n v="1"/>
    <n v="200"/>
    <n v="200"/>
    <n v="90"/>
    <n v="90"/>
    <n v="110"/>
    <x v="0"/>
    <x v="3"/>
    <x v="1"/>
    <n v="34.06"/>
    <n v="31.99"/>
    <n v="16.5"/>
    <n v="7.34"/>
    <n v="1.23"/>
    <n v="5.28"/>
    <n v="2.52"/>
    <n v="1.75"/>
    <n v="9.33"/>
    <x v="0"/>
    <x v="0"/>
  </r>
  <r>
    <n v="389"/>
    <x v="60"/>
    <s v="C1112"/>
    <x v="4"/>
    <x v="0"/>
    <n v="4"/>
    <n v="120"/>
    <n v="480"/>
    <n v="50"/>
    <n v="200"/>
    <n v="280"/>
    <x v="0"/>
    <x v="2"/>
    <x v="1"/>
    <n v="18.760000000000002"/>
    <n v="51.96"/>
    <n v="17.53"/>
    <n v="27.11"/>
    <n v="2.63"/>
    <n v="14.86"/>
    <n v="7.16"/>
    <n v="1.93"/>
    <n v="138.06"/>
    <x v="2"/>
    <x v="1"/>
  </r>
  <r>
    <n v="390"/>
    <x v="104"/>
    <s v="C1058"/>
    <x v="1"/>
    <x v="0"/>
    <n v="3"/>
    <n v="220"/>
    <n v="660"/>
    <n v="100"/>
    <n v="300"/>
    <n v="360"/>
    <x v="3"/>
    <x v="0"/>
    <x v="1"/>
    <n v="24.7"/>
    <n v="57.39"/>
    <n v="19.239999999999998"/>
    <n v="27.47"/>
    <n v="1.96"/>
    <n v="5"/>
    <n v="6.36"/>
    <n v="2.2400000000000002"/>
    <n v="215.64"/>
    <x v="0"/>
    <x v="0"/>
  </r>
  <r>
    <n v="391"/>
    <x v="79"/>
    <s v="C1274"/>
    <x v="0"/>
    <x v="0"/>
    <n v="2"/>
    <n v="200"/>
    <n v="400"/>
    <n v="90"/>
    <n v="180"/>
    <n v="220"/>
    <x v="4"/>
    <x v="3"/>
    <x v="1"/>
    <n v="23.2"/>
    <n v="39.39"/>
    <n v="18.27"/>
    <n v="17.260000000000002"/>
    <n v="2.7"/>
    <n v="3.52"/>
    <n v="5.89"/>
    <n v="0.91"/>
    <n v="108.86"/>
    <x v="1"/>
    <x v="1"/>
  </r>
  <r>
    <n v="392"/>
    <x v="68"/>
    <s v="C1286"/>
    <x v="7"/>
    <x v="2"/>
    <n v="4"/>
    <n v="150"/>
    <n v="600"/>
    <n v="70"/>
    <n v="280"/>
    <n v="320"/>
    <x v="3"/>
    <x v="0"/>
    <x v="1"/>
    <n v="17.260000000000002"/>
    <n v="15.24"/>
    <n v="12.75"/>
    <n v="26.88"/>
    <n v="0.76"/>
    <n v="3.65"/>
    <n v="2.52"/>
    <n v="1.21"/>
    <n v="239.73"/>
    <x v="1"/>
    <x v="0"/>
  </r>
  <r>
    <n v="393"/>
    <x v="18"/>
    <s v="C1264"/>
    <x v="5"/>
    <x v="0"/>
    <n v="4"/>
    <n v="250"/>
    <n v="1000"/>
    <n v="110"/>
    <n v="440"/>
    <n v="560"/>
    <x v="2"/>
    <x v="0"/>
    <x v="5"/>
    <n v="39.119999999999997"/>
    <n v="51.35"/>
    <n v="9.25"/>
    <n v="13.54"/>
    <n v="4.63"/>
    <n v="3.79"/>
    <n v="5.26"/>
    <n v="0.23"/>
    <n v="432.83"/>
    <x v="1"/>
    <x v="0"/>
  </r>
  <r>
    <n v="394"/>
    <x v="69"/>
    <s v="C1182"/>
    <x v="3"/>
    <x v="2"/>
    <n v="3"/>
    <n v="180"/>
    <n v="540"/>
    <n v="90"/>
    <n v="270"/>
    <n v="270"/>
    <x v="3"/>
    <x v="3"/>
    <x v="5"/>
    <n v="32.840000000000003"/>
    <n v="25.14"/>
    <n v="18.329999999999998"/>
    <n v="28.03"/>
    <n v="0.82"/>
    <n v="6.77"/>
    <n v="2.59"/>
    <n v="0.94"/>
    <n v="154.54"/>
    <x v="2"/>
    <x v="0"/>
  </r>
  <r>
    <n v="395"/>
    <x v="43"/>
    <s v="C1328"/>
    <x v="3"/>
    <x v="2"/>
    <n v="2"/>
    <n v="180"/>
    <n v="360"/>
    <n v="90"/>
    <n v="180"/>
    <n v="180"/>
    <x v="3"/>
    <x v="3"/>
    <x v="2"/>
    <n v="37.21"/>
    <n v="43.47"/>
    <n v="18.649999999999999"/>
    <n v="8.42"/>
    <n v="4.67"/>
    <n v="4.38"/>
    <n v="7.28"/>
    <n v="0.84"/>
    <n v="55.08"/>
    <x v="1"/>
    <x v="0"/>
  </r>
  <r>
    <n v="396"/>
    <x v="4"/>
    <s v="C1098"/>
    <x v="4"/>
    <x v="0"/>
    <n v="3"/>
    <n v="120"/>
    <n v="360"/>
    <n v="50"/>
    <n v="150"/>
    <n v="210"/>
    <x v="3"/>
    <x v="3"/>
    <x v="2"/>
    <n v="29.84"/>
    <n v="34.42"/>
    <n v="16.920000000000002"/>
    <n v="22.28"/>
    <n v="2.13"/>
    <n v="13.69"/>
    <n v="7.55"/>
    <n v="2.69"/>
    <n v="80.48"/>
    <x v="1"/>
    <x v="0"/>
  </r>
  <r>
    <n v="397"/>
    <x v="2"/>
    <s v="C1134"/>
    <x v="0"/>
    <x v="0"/>
    <n v="4"/>
    <n v="200"/>
    <n v="800"/>
    <n v="90"/>
    <n v="360"/>
    <n v="440"/>
    <x v="2"/>
    <x v="0"/>
    <x v="2"/>
    <n v="22.85"/>
    <n v="17.399999999999999"/>
    <n v="7.71"/>
    <n v="9.2899999999999991"/>
    <n v="3.39"/>
    <n v="5.04"/>
    <n v="4.93"/>
    <n v="0.08"/>
    <n v="369.31"/>
    <x v="2"/>
    <x v="1"/>
  </r>
  <r>
    <n v="398"/>
    <x v="152"/>
    <s v="C1113"/>
    <x v="7"/>
    <x v="2"/>
    <n v="4"/>
    <n v="150"/>
    <n v="600"/>
    <n v="70"/>
    <n v="280"/>
    <n v="320"/>
    <x v="0"/>
    <x v="2"/>
    <x v="4"/>
    <n v="27.63"/>
    <n v="57.33"/>
    <n v="10.34"/>
    <n v="1.83"/>
    <n v="2.72"/>
    <n v="14.94"/>
    <n v="3.65"/>
    <n v="0.9"/>
    <n v="200.66"/>
    <x v="1"/>
    <x v="1"/>
  </r>
  <r>
    <n v="399"/>
    <x v="81"/>
    <s v="C1168"/>
    <x v="3"/>
    <x v="2"/>
    <n v="1"/>
    <n v="180"/>
    <n v="180"/>
    <n v="90"/>
    <n v="90"/>
    <n v="90"/>
    <x v="2"/>
    <x v="3"/>
    <x v="5"/>
    <n v="33.99"/>
    <n v="59.87"/>
    <n v="16.649999999999999"/>
    <n v="10.199999999999999"/>
    <n v="3.64"/>
    <n v="6.25"/>
    <n v="4.2300000000000004"/>
    <n v="1.57"/>
    <n v="-46.4"/>
    <x v="0"/>
    <x v="1"/>
  </r>
  <r>
    <n v="400"/>
    <x v="81"/>
    <s v="C1074"/>
    <x v="7"/>
    <x v="2"/>
    <n v="2"/>
    <n v="150"/>
    <n v="300"/>
    <n v="70"/>
    <n v="140"/>
    <n v="160"/>
    <x v="4"/>
    <x v="1"/>
    <x v="3"/>
    <n v="28.82"/>
    <n v="31.93"/>
    <n v="13.96"/>
    <n v="20.079999999999998"/>
    <n v="0.44"/>
    <n v="13.66"/>
    <n v="7.11"/>
    <n v="0.08"/>
    <n v="43.92"/>
    <x v="1"/>
    <x v="1"/>
  </r>
  <r>
    <n v="401"/>
    <x v="3"/>
    <s v="C1349"/>
    <x v="4"/>
    <x v="0"/>
    <n v="4"/>
    <n v="120"/>
    <n v="480"/>
    <n v="50"/>
    <n v="200"/>
    <n v="280"/>
    <x v="1"/>
    <x v="3"/>
    <x v="0"/>
    <n v="11.37"/>
    <n v="44.07"/>
    <n v="16.440000000000001"/>
    <n v="3.94"/>
    <n v="0.84"/>
    <n v="4.8099999999999996"/>
    <n v="3.26"/>
    <n v="1.8"/>
    <n v="193.47"/>
    <x v="2"/>
    <x v="0"/>
  </r>
  <r>
    <n v="402"/>
    <x v="14"/>
    <s v="C1077"/>
    <x v="0"/>
    <x v="0"/>
    <n v="1"/>
    <n v="200"/>
    <n v="200"/>
    <n v="90"/>
    <n v="90"/>
    <n v="110"/>
    <x v="2"/>
    <x v="4"/>
    <x v="1"/>
    <n v="22.72"/>
    <n v="49.49"/>
    <n v="15.36"/>
    <n v="15.83"/>
    <n v="2.44"/>
    <n v="10.44"/>
    <n v="1.01"/>
    <n v="2"/>
    <n v="-9.2899999999999991"/>
    <x v="1"/>
    <x v="0"/>
  </r>
  <r>
    <n v="403"/>
    <x v="136"/>
    <s v="C1239"/>
    <x v="5"/>
    <x v="0"/>
    <n v="3"/>
    <n v="250"/>
    <n v="750"/>
    <n v="110"/>
    <n v="330"/>
    <n v="420"/>
    <x v="4"/>
    <x v="2"/>
    <x v="1"/>
    <n v="28.37"/>
    <n v="38.49"/>
    <n v="15.65"/>
    <n v="20.2"/>
    <n v="0.48"/>
    <n v="5.52"/>
    <n v="2.12"/>
    <n v="1.68"/>
    <n v="307.49"/>
    <x v="1"/>
    <x v="1"/>
  </r>
  <r>
    <n v="404"/>
    <x v="99"/>
    <s v="C1130"/>
    <x v="2"/>
    <x v="1"/>
    <n v="3"/>
    <n v="80"/>
    <n v="240"/>
    <n v="30"/>
    <n v="90"/>
    <n v="150"/>
    <x v="0"/>
    <x v="2"/>
    <x v="3"/>
    <n v="15.42"/>
    <n v="16.96"/>
    <n v="8.3000000000000007"/>
    <n v="34.31"/>
    <n v="2.08"/>
    <n v="4.49"/>
    <n v="2.42"/>
    <n v="2.17"/>
    <n v="63.85"/>
    <x v="0"/>
    <x v="1"/>
  </r>
  <r>
    <n v="405"/>
    <x v="123"/>
    <s v="C1008"/>
    <x v="0"/>
    <x v="0"/>
    <n v="2"/>
    <n v="200"/>
    <n v="400"/>
    <n v="90"/>
    <n v="180"/>
    <n v="220"/>
    <x v="0"/>
    <x v="2"/>
    <x v="2"/>
    <n v="27.29"/>
    <n v="56.73"/>
    <n v="10.69"/>
    <n v="25.33"/>
    <n v="3.38"/>
    <n v="8.8000000000000007"/>
    <n v="4.9400000000000004"/>
    <n v="2.4700000000000002"/>
    <n v="80.37"/>
    <x v="1"/>
    <x v="0"/>
  </r>
  <r>
    <n v="406"/>
    <x v="130"/>
    <s v="C1171"/>
    <x v="2"/>
    <x v="1"/>
    <n v="4"/>
    <n v="80"/>
    <n v="320"/>
    <n v="30"/>
    <n v="120"/>
    <n v="200"/>
    <x v="3"/>
    <x v="2"/>
    <x v="2"/>
    <n v="34.83"/>
    <n v="52.56"/>
    <n v="6.59"/>
    <n v="11.89"/>
    <n v="1.0900000000000001"/>
    <n v="12.23"/>
    <n v="4.08"/>
    <n v="2.0099999999999998"/>
    <n v="74.72"/>
    <x v="1"/>
    <x v="0"/>
  </r>
  <r>
    <n v="407"/>
    <x v="37"/>
    <s v="C1311"/>
    <x v="0"/>
    <x v="0"/>
    <n v="2"/>
    <n v="200"/>
    <n v="400"/>
    <n v="90"/>
    <n v="180"/>
    <n v="220"/>
    <x v="2"/>
    <x v="0"/>
    <x v="1"/>
    <n v="14.24"/>
    <n v="37.28"/>
    <n v="5.26"/>
    <n v="7.92"/>
    <n v="3.2"/>
    <n v="3.06"/>
    <n v="6.49"/>
    <n v="1.8"/>
    <n v="140.75"/>
    <x v="0"/>
    <x v="0"/>
  </r>
  <r>
    <n v="408"/>
    <x v="63"/>
    <s v="C1149"/>
    <x v="7"/>
    <x v="2"/>
    <n v="4"/>
    <n v="150"/>
    <n v="600"/>
    <n v="70"/>
    <n v="280"/>
    <n v="320"/>
    <x v="1"/>
    <x v="1"/>
    <x v="4"/>
    <n v="15.94"/>
    <n v="50.43"/>
    <n v="5.91"/>
    <n v="33.25"/>
    <n v="4.84"/>
    <n v="8.4"/>
    <n v="7.08"/>
    <n v="2.68"/>
    <n v="191.47"/>
    <x v="2"/>
    <x v="0"/>
  </r>
  <r>
    <n v="409"/>
    <x v="91"/>
    <s v="C1339"/>
    <x v="5"/>
    <x v="0"/>
    <n v="3"/>
    <n v="250"/>
    <n v="750"/>
    <n v="110"/>
    <n v="330"/>
    <n v="420"/>
    <x v="2"/>
    <x v="0"/>
    <x v="5"/>
    <n v="17.82"/>
    <n v="57.14"/>
    <n v="6.01"/>
    <n v="22.24"/>
    <n v="0.56000000000000005"/>
    <n v="9.69"/>
    <n v="3.64"/>
    <n v="2.77"/>
    <n v="300.13"/>
    <x v="2"/>
    <x v="1"/>
  </r>
  <r>
    <n v="410"/>
    <x v="142"/>
    <s v="C1115"/>
    <x v="0"/>
    <x v="0"/>
    <n v="2"/>
    <n v="200"/>
    <n v="400"/>
    <n v="90"/>
    <n v="180"/>
    <n v="220"/>
    <x v="0"/>
    <x v="0"/>
    <x v="0"/>
    <n v="11.64"/>
    <n v="40.4"/>
    <n v="17.13"/>
    <n v="20"/>
    <n v="0.8"/>
    <n v="14.63"/>
    <n v="6.2"/>
    <n v="2.81"/>
    <n v="106.39"/>
    <x v="2"/>
    <x v="1"/>
  </r>
  <r>
    <n v="411"/>
    <x v="95"/>
    <s v="C1116"/>
    <x v="1"/>
    <x v="0"/>
    <n v="1"/>
    <n v="220"/>
    <n v="220"/>
    <n v="100"/>
    <n v="100"/>
    <n v="120"/>
    <x v="1"/>
    <x v="0"/>
    <x v="3"/>
    <n v="34.75"/>
    <n v="28.68"/>
    <n v="16.649999999999999"/>
    <n v="27.71"/>
    <n v="3.77"/>
    <n v="14.48"/>
    <n v="4.92"/>
    <n v="0.08"/>
    <n v="-11.04"/>
    <x v="2"/>
    <x v="1"/>
  </r>
  <r>
    <n v="412"/>
    <x v="99"/>
    <s v="C1009"/>
    <x v="3"/>
    <x v="2"/>
    <n v="4"/>
    <n v="180"/>
    <n v="720"/>
    <n v="90"/>
    <n v="360"/>
    <n v="360"/>
    <x v="0"/>
    <x v="0"/>
    <x v="1"/>
    <n v="38.96"/>
    <n v="26.95"/>
    <n v="9.27"/>
    <n v="34"/>
    <n v="1.66"/>
    <n v="8.77"/>
    <n v="7.69"/>
    <n v="1.57"/>
    <n v="231.13"/>
    <x v="0"/>
    <x v="0"/>
  </r>
  <r>
    <n v="413"/>
    <x v="153"/>
    <s v="C1087"/>
    <x v="4"/>
    <x v="0"/>
    <n v="1"/>
    <n v="120"/>
    <n v="120"/>
    <n v="50"/>
    <n v="50"/>
    <n v="70"/>
    <x v="2"/>
    <x v="1"/>
    <x v="1"/>
    <n v="13.26"/>
    <n v="54.01"/>
    <n v="9.33"/>
    <n v="5.83"/>
    <n v="2.4900000000000002"/>
    <n v="4.54"/>
    <n v="4.21"/>
    <n v="0.96"/>
    <n v="-24.63"/>
    <x v="2"/>
    <x v="0"/>
  </r>
  <r>
    <n v="414"/>
    <x v="14"/>
    <s v="C1061"/>
    <x v="2"/>
    <x v="1"/>
    <n v="3"/>
    <n v="80"/>
    <n v="240"/>
    <n v="30"/>
    <n v="90"/>
    <n v="150"/>
    <x v="0"/>
    <x v="2"/>
    <x v="2"/>
    <n v="37.28"/>
    <n v="54.67"/>
    <n v="8.77"/>
    <n v="30.07"/>
    <n v="4.4000000000000004"/>
    <n v="4.6900000000000004"/>
    <n v="2.0299999999999998"/>
    <n v="1.66"/>
    <n v="6.43"/>
    <x v="1"/>
    <x v="0"/>
  </r>
  <r>
    <n v="415"/>
    <x v="56"/>
    <s v="C1340"/>
    <x v="2"/>
    <x v="1"/>
    <n v="3"/>
    <n v="80"/>
    <n v="240"/>
    <n v="30"/>
    <n v="90"/>
    <n v="150"/>
    <x v="2"/>
    <x v="0"/>
    <x v="2"/>
    <n v="16.53"/>
    <n v="32.71"/>
    <n v="11.43"/>
    <n v="16.05"/>
    <n v="4.3499999999999996"/>
    <n v="8.4700000000000006"/>
    <n v="7.42"/>
    <n v="2.68"/>
    <n v="50.36"/>
    <x v="1"/>
    <x v="1"/>
  </r>
  <r>
    <n v="416"/>
    <x v="30"/>
    <s v="C1216"/>
    <x v="1"/>
    <x v="0"/>
    <n v="1"/>
    <n v="220"/>
    <n v="220"/>
    <n v="100"/>
    <n v="100"/>
    <n v="120"/>
    <x v="1"/>
    <x v="4"/>
    <x v="0"/>
    <n v="39.79"/>
    <n v="32.46"/>
    <n v="11.46"/>
    <n v="25.84"/>
    <n v="1.85"/>
    <n v="3.72"/>
    <n v="2.63"/>
    <n v="0.34"/>
    <n v="1.91"/>
    <x v="0"/>
    <x v="1"/>
  </r>
  <r>
    <n v="417"/>
    <x v="143"/>
    <s v="C1323"/>
    <x v="4"/>
    <x v="0"/>
    <n v="4"/>
    <n v="120"/>
    <n v="480"/>
    <n v="50"/>
    <n v="200"/>
    <n v="280"/>
    <x v="1"/>
    <x v="2"/>
    <x v="0"/>
    <n v="19.14"/>
    <n v="39.56"/>
    <n v="6.4"/>
    <n v="26.65"/>
    <n v="4.41"/>
    <n v="7.43"/>
    <n v="4.26"/>
    <n v="0.82"/>
    <n v="171.33"/>
    <x v="2"/>
    <x v="0"/>
  </r>
  <r>
    <n v="418"/>
    <x v="88"/>
    <s v="C1141"/>
    <x v="2"/>
    <x v="1"/>
    <n v="2"/>
    <n v="80"/>
    <n v="160"/>
    <n v="30"/>
    <n v="60"/>
    <n v="100"/>
    <x v="3"/>
    <x v="4"/>
    <x v="5"/>
    <n v="13.4"/>
    <n v="26.87"/>
    <n v="11.07"/>
    <n v="9.26"/>
    <n v="0.7"/>
    <n v="14.57"/>
    <n v="2.78"/>
    <n v="0.37"/>
    <n v="20.98"/>
    <x v="2"/>
    <x v="0"/>
  </r>
  <r>
    <n v="419"/>
    <x v="29"/>
    <s v="C1214"/>
    <x v="2"/>
    <x v="1"/>
    <n v="1"/>
    <n v="80"/>
    <n v="80"/>
    <n v="30"/>
    <n v="30"/>
    <n v="50"/>
    <x v="3"/>
    <x v="4"/>
    <x v="2"/>
    <n v="10.52"/>
    <n v="49.23"/>
    <n v="11.36"/>
    <n v="34.04"/>
    <n v="0.6"/>
    <n v="6.3"/>
    <n v="6.92"/>
    <n v="1.1399999999999999"/>
    <n v="-70.11"/>
    <x v="1"/>
    <x v="1"/>
  </r>
  <r>
    <n v="420"/>
    <x v="6"/>
    <s v="C1203"/>
    <x v="6"/>
    <x v="0"/>
    <n v="2"/>
    <n v="180"/>
    <n v="360"/>
    <n v="75"/>
    <n v="150"/>
    <n v="210"/>
    <x v="0"/>
    <x v="2"/>
    <x v="5"/>
    <n v="24.11"/>
    <n v="41.97"/>
    <n v="16.46"/>
    <n v="12.71"/>
    <n v="3.33"/>
    <n v="5.49"/>
    <n v="2.63"/>
    <n v="1.81"/>
    <n v="101.49"/>
    <x v="0"/>
    <x v="0"/>
  </r>
  <r>
    <n v="421"/>
    <x v="122"/>
    <s v="C1306"/>
    <x v="3"/>
    <x v="2"/>
    <n v="3"/>
    <n v="180"/>
    <n v="540"/>
    <n v="90"/>
    <n v="270"/>
    <n v="270"/>
    <x v="3"/>
    <x v="0"/>
    <x v="1"/>
    <n v="33.770000000000003"/>
    <n v="52.32"/>
    <n v="6.65"/>
    <n v="17.72"/>
    <n v="4.32"/>
    <n v="5.52"/>
    <n v="4.83"/>
    <n v="1.91"/>
    <n v="142.96"/>
    <x v="2"/>
    <x v="0"/>
  </r>
  <r>
    <n v="422"/>
    <x v="155"/>
    <s v="C1253"/>
    <x v="4"/>
    <x v="0"/>
    <n v="2"/>
    <n v="120"/>
    <n v="240"/>
    <n v="50"/>
    <n v="100"/>
    <n v="140"/>
    <x v="3"/>
    <x v="3"/>
    <x v="3"/>
    <n v="21.57"/>
    <n v="42.2"/>
    <n v="5.45"/>
    <n v="20.05"/>
    <n v="3.92"/>
    <n v="4.63"/>
    <n v="5.38"/>
    <n v="0.22"/>
    <n v="36.58"/>
    <x v="1"/>
    <x v="0"/>
  </r>
  <r>
    <n v="423"/>
    <x v="16"/>
    <s v="C1177"/>
    <x v="2"/>
    <x v="1"/>
    <n v="3"/>
    <n v="80"/>
    <n v="240"/>
    <n v="30"/>
    <n v="90"/>
    <n v="150"/>
    <x v="4"/>
    <x v="3"/>
    <x v="1"/>
    <n v="31.28"/>
    <n v="52.44"/>
    <n v="14.87"/>
    <n v="23.34"/>
    <n v="4.28"/>
    <n v="13.42"/>
    <n v="3.78"/>
    <n v="2.27"/>
    <n v="4.32"/>
    <x v="2"/>
    <x v="1"/>
  </r>
  <r>
    <n v="424"/>
    <x v="98"/>
    <s v="C1191"/>
    <x v="2"/>
    <x v="1"/>
    <n v="4"/>
    <n v="80"/>
    <n v="320"/>
    <n v="30"/>
    <n v="120"/>
    <n v="200"/>
    <x v="4"/>
    <x v="3"/>
    <x v="5"/>
    <n v="29.46"/>
    <n v="59.3"/>
    <n v="15.38"/>
    <n v="15.25"/>
    <n v="3.3"/>
    <n v="11.09"/>
    <n v="6.28"/>
    <n v="2.36"/>
    <n v="57.58"/>
    <x v="2"/>
    <x v="1"/>
  </r>
  <r>
    <n v="425"/>
    <x v="156"/>
    <s v="C1310"/>
    <x v="5"/>
    <x v="0"/>
    <n v="3"/>
    <n v="250"/>
    <n v="750"/>
    <n v="110"/>
    <n v="330"/>
    <n v="420"/>
    <x v="0"/>
    <x v="3"/>
    <x v="3"/>
    <n v="37.83"/>
    <n v="22.07"/>
    <n v="11.82"/>
    <n v="10.6"/>
    <n v="1.98"/>
    <n v="12.58"/>
    <n v="1.89"/>
    <n v="0.83"/>
    <n v="320.39999999999998"/>
    <x v="2"/>
    <x v="0"/>
  </r>
  <r>
    <n v="426"/>
    <x v="157"/>
    <s v="C1234"/>
    <x v="7"/>
    <x v="2"/>
    <n v="2"/>
    <n v="150"/>
    <n v="300"/>
    <n v="70"/>
    <n v="140"/>
    <n v="160"/>
    <x v="0"/>
    <x v="4"/>
    <x v="4"/>
    <n v="23"/>
    <n v="27.87"/>
    <n v="8.6"/>
    <n v="15.18"/>
    <n v="1.19"/>
    <n v="2.0499999999999998"/>
    <n v="1.36"/>
    <n v="0.8"/>
    <n v="79.95"/>
    <x v="2"/>
    <x v="1"/>
  </r>
  <r>
    <n v="427"/>
    <x v="129"/>
    <s v="C1128"/>
    <x v="1"/>
    <x v="0"/>
    <n v="4"/>
    <n v="220"/>
    <n v="880"/>
    <n v="100"/>
    <n v="400"/>
    <n v="480"/>
    <x v="3"/>
    <x v="4"/>
    <x v="1"/>
    <n v="15.59"/>
    <n v="27.11"/>
    <n v="19.72"/>
    <n v="33.51"/>
    <n v="2.36"/>
    <n v="10.48"/>
    <n v="4.5999999999999996"/>
    <n v="2.4700000000000002"/>
    <n v="364.16"/>
    <x v="0"/>
    <x v="0"/>
  </r>
  <r>
    <n v="428"/>
    <x v="30"/>
    <s v="C1145"/>
    <x v="4"/>
    <x v="0"/>
    <n v="3"/>
    <n v="120"/>
    <n v="360"/>
    <n v="50"/>
    <n v="150"/>
    <n v="210"/>
    <x v="1"/>
    <x v="4"/>
    <x v="1"/>
    <n v="35.880000000000003"/>
    <n v="57.95"/>
    <n v="14.11"/>
    <n v="32.68"/>
    <n v="4.05"/>
    <n v="2.11"/>
    <n v="2.27"/>
    <n v="0.12"/>
    <n v="60.83"/>
    <x v="0"/>
    <x v="0"/>
  </r>
  <r>
    <n v="429"/>
    <x v="29"/>
    <s v="C1042"/>
    <x v="5"/>
    <x v="0"/>
    <n v="4"/>
    <n v="250"/>
    <n v="1000"/>
    <n v="110"/>
    <n v="440"/>
    <n v="560"/>
    <x v="1"/>
    <x v="0"/>
    <x v="4"/>
    <n v="36.299999999999997"/>
    <n v="36.020000000000003"/>
    <n v="8.34"/>
    <n v="11.09"/>
    <n v="3.24"/>
    <n v="3.83"/>
    <n v="4.9400000000000004"/>
    <n v="1.39"/>
    <n v="454.85"/>
    <x v="0"/>
    <x v="0"/>
  </r>
  <r>
    <n v="430"/>
    <x v="6"/>
    <s v="C1114"/>
    <x v="2"/>
    <x v="1"/>
    <n v="2"/>
    <n v="80"/>
    <n v="160"/>
    <n v="30"/>
    <n v="60"/>
    <n v="100"/>
    <x v="1"/>
    <x v="1"/>
    <x v="5"/>
    <n v="22.57"/>
    <n v="39.83"/>
    <n v="14.73"/>
    <n v="0.86"/>
    <n v="3.14"/>
    <n v="3.79"/>
    <n v="7.01"/>
    <n v="0.19"/>
    <n v="7.88"/>
    <x v="1"/>
    <x v="0"/>
  </r>
  <r>
    <n v="431"/>
    <x v="107"/>
    <s v="C1221"/>
    <x v="2"/>
    <x v="1"/>
    <n v="2"/>
    <n v="80"/>
    <n v="160"/>
    <n v="30"/>
    <n v="60"/>
    <n v="100"/>
    <x v="0"/>
    <x v="0"/>
    <x v="5"/>
    <n v="18.28"/>
    <n v="22.74"/>
    <n v="13.22"/>
    <n v="3.82"/>
    <n v="1.47"/>
    <n v="12.56"/>
    <n v="7.67"/>
    <n v="0.79"/>
    <n v="19.45"/>
    <x v="2"/>
    <x v="0"/>
  </r>
  <r>
    <n v="432"/>
    <x v="15"/>
    <s v="C1086"/>
    <x v="2"/>
    <x v="1"/>
    <n v="4"/>
    <n v="80"/>
    <n v="320"/>
    <n v="30"/>
    <n v="120"/>
    <n v="200"/>
    <x v="1"/>
    <x v="3"/>
    <x v="1"/>
    <n v="36.81"/>
    <n v="19.7"/>
    <n v="17.77"/>
    <n v="8.2799999999999994"/>
    <n v="0.11"/>
    <n v="10.11"/>
    <n v="7.25"/>
    <n v="2.2999999999999998"/>
    <n v="97.67"/>
    <x v="0"/>
    <x v="0"/>
  </r>
  <r>
    <n v="433"/>
    <x v="104"/>
    <s v="C1217"/>
    <x v="1"/>
    <x v="0"/>
    <n v="2"/>
    <n v="220"/>
    <n v="440"/>
    <n v="100"/>
    <n v="200"/>
    <n v="240"/>
    <x v="0"/>
    <x v="3"/>
    <x v="5"/>
    <n v="37.01"/>
    <n v="20.350000000000001"/>
    <n v="14.87"/>
    <n v="27.05"/>
    <n v="4.8"/>
    <n v="11.18"/>
    <n v="2.38"/>
    <n v="2.5299999999999998"/>
    <n v="119.83"/>
    <x v="0"/>
    <x v="1"/>
  </r>
  <r>
    <n v="434"/>
    <x v="34"/>
    <s v="C1275"/>
    <x v="5"/>
    <x v="0"/>
    <n v="3"/>
    <n v="250"/>
    <n v="750"/>
    <n v="110"/>
    <n v="330"/>
    <n v="420"/>
    <x v="0"/>
    <x v="3"/>
    <x v="3"/>
    <n v="15.77"/>
    <n v="24.03"/>
    <n v="5.79"/>
    <n v="9.5399999999999991"/>
    <n v="1.56"/>
    <n v="11.59"/>
    <n v="1.34"/>
    <n v="2.2999999999999998"/>
    <n v="348.08"/>
    <x v="2"/>
    <x v="0"/>
  </r>
  <r>
    <n v="435"/>
    <x v="95"/>
    <s v="C1310"/>
    <x v="2"/>
    <x v="1"/>
    <n v="2"/>
    <n v="80"/>
    <n v="160"/>
    <n v="30"/>
    <n v="60"/>
    <n v="100"/>
    <x v="3"/>
    <x v="3"/>
    <x v="4"/>
    <n v="31.83"/>
    <n v="20.07"/>
    <n v="14.66"/>
    <n v="33.119999999999997"/>
    <n v="4.49"/>
    <n v="8.8000000000000007"/>
    <n v="3.15"/>
    <n v="1.54"/>
    <n v="-17.66"/>
    <x v="2"/>
    <x v="0"/>
  </r>
  <r>
    <n v="436"/>
    <x v="158"/>
    <s v="C1147"/>
    <x v="1"/>
    <x v="0"/>
    <n v="2"/>
    <n v="220"/>
    <n v="440"/>
    <n v="100"/>
    <n v="200"/>
    <n v="240"/>
    <x v="2"/>
    <x v="0"/>
    <x v="4"/>
    <n v="38.58"/>
    <n v="51.39"/>
    <n v="15.05"/>
    <n v="34.020000000000003"/>
    <n v="1.24"/>
    <n v="4.9800000000000004"/>
    <n v="7.22"/>
    <n v="2.1"/>
    <n v="85.42"/>
    <x v="0"/>
    <x v="0"/>
  </r>
  <r>
    <n v="437"/>
    <x v="74"/>
    <s v="C1138"/>
    <x v="0"/>
    <x v="0"/>
    <n v="2"/>
    <n v="200"/>
    <n v="400"/>
    <n v="90"/>
    <n v="180"/>
    <n v="220"/>
    <x v="3"/>
    <x v="0"/>
    <x v="0"/>
    <n v="13.06"/>
    <n v="56.62"/>
    <n v="8.34"/>
    <n v="2.2200000000000002"/>
    <n v="4.0599999999999996"/>
    <n v="9.94"/>
    <n v="1.07"/>
    <n v="0.36"/>
    <n v="124.33"/>
    <x v="0"/>
    <x v="1"/>
  </r>
  <r>
    <n v="438"/>
    <x v="83"/>
    <s v="C1003"/>
    <x v="0"/>
    <x v="0"/>
    <n v="2"/>
    <n v="200"/>
    <n v="400"/>
    <n v="90"/>
    <n v="180"/>
    <n v="220"/>
    <x v="4"/>
    <x v="0"/>
    <x v="5"/>
    <n v="27.19"/>
    <n v="55.6"/>
    <n v="9.16"/>
    <n v="8.0399999999999991"/>
    <n v="2.58"/>
    <n v="13.03"/>
    <n v="7.46"/>
    <n v="1.03"/>
    <n v="95.91"/>
    <x v="0"/>
    <x v="1"/>
  </r>
  <r>
    <n v="439"/>
    <x v="146"/>
    <s v="C1253"/>
    <x v="7"/>
    <x v="2"/>
    <n v="4"/>
    <n v="150"/>
    <n v="600"/>
    <n v="70"/>
    <n v="280"/>
    <n v="320"/>
    <x v="1"/>
    <x v="1"/>
    <x v="2"/>
    <n v="32.24"/>
    <n v="55.52"/>
    <n v="17.170000000000002"/>
    <n v="15.6"/>
    <n v="4.4800000000000004"/>
    <n v="5.84"/>
    <n v="5.28"/>
    <n v="0.27"/>
    <n v="183.6"/>
    <x v="0"/>
    <x v="0"/>
  </r>
  <r>
    <n v="440"/>
    <x v="48"/>
    <s v="C1011"/>
    <x v="0"/>
    <x v="0"/>
    <n v="3"/>
    <n v="200"/>
    <n v="600"/>
    <n v="90"/>
    <n v="270"/>
    <n v="330"/>
    <x v="0"/>
    <x v="0"/>
    <x v="2"/>
    <n v="14.73"/>
    <n v="55.33"/>
    <n v="11.28"/>
    <n v="33.14"/>
    <n v="0.96"/>
    <n v="12.91"/>
    <n v="4.99"/>
    <n v="2.52"/>
    <n v="194.14"/>
    <x v="1"/>
    <x v="0"/>
  </r>
  <r>
    <n v="441"/>
    <x v="121"/>
    <s v="C1196"/>
    <x v="7"/>
    <x v="2"/>
    <n v="1"/>
    <n v="150"/>
    <n v="150"/>
    <n v="70"/>
    <n v="70"/>
    <n v="80"/>
    <x v="4"/>
    <x v="4"/>
    <x v="5"/>
    <n v="37.64"/>
    <n v="22.23"/>
    <n v="16.809999999999999"/>
    <n v="8.3800000000000008"/>
    <n v="3.04"/>
    <n v="7.68"/>
    <n v="4.42"/>
    <n v="2.86"/>
    <n v="-23.06"/>
    <x v="1"/>
    <x v="0"/>
  </r>
  <r>
    <n v="442"/>
    <x v="118"/>
    <s v="C1002"/>
    <x v="4"/>
    <x v="0"/>
    <n v="2"/>
    <n v="120"/>
    <n v="240"/>
    <n v="50"/>
    <n v="100"/>
    <n v="140"/>
    <x v="3"/>
    <x v="4"/>
    <x v="4"/>
    <n v="28.51"/>
    <n v="35.119999999999997"/>
    <n v="17.399999999999999"/>
    <n v="24.72"/>
    <n v="4.45"/>
    <n v="6.79"/>
    <n v="4.34"/>
    <n v="1.32"/>
    <n v="17.350000000000001"/>
    <x v="0"/>
    <x v="1"/>
  </r>
  <r>
    <n v="443"/>
    <x v="69"/>
    <s v="C1052"/>
    <x v="2"/>
    <x v="1"/>
    <n v="2"/>
    <n v="80"/>
    <n v="160"/>
    <n v="30"/>
    <n v="60"/>
    <n v="100"/>
    <x v="1"/>
    <x v="0"/>
    <x v="5"/>
    <n v="10.53"/>
    <n v="16.05"/>
    <n v="8.5299999999999994"/>
    <n v="26.05"/>
    <n v="4.78"/>
    <n v="5.03"/>
    <n v="6.84"/>
    <n v="0.56000000000000005"/>
    <n v="21.63"/>
    <x v="0"/>
    <x v="0"/>
  </r>
  <r>
    <n v="444"/>
    <x v="102"/>
    <s v="C1283"/>
    <x v="0"/>
    <x v="0"/>
    <n v="1"/>
    <n v="200"/>
    <n v="200"/>
    <n v="90"/>
    <n v="90"/>
    <n v="110"/>
    <x v="3"/>
    <x v="0"/>
    <x v="0"/>
    <n v="29.81"/>
    <n v="36.270000000000003"/>
    <n v="6.88"/>
    <n v="23.3"/>
    <n v="1.27"/>
    <n v="3.93"/>
    <n v="4.6100000000000003"/>
    <n v="0.97"/>
    <n v="2.96"/>
    <x v="1"/>
    <x v="1"/>
  </r>
  <r>
    <n v="445"/>
    <x v="145"/>
    <s v="C1290"/>
    <x v="3"/>
    <x v="2"/>
    <n v="2"/>
    <n v="180"/>
    <n v="360"/>
    <n v="90"/>
    <n v="180"/>
    <n v="180"/>
    <x v="4"/>
    <x v="0"/>
    <x v="0"/>
    <n v="11.59"/>
    <n v="26.96"/>
    <n v="13.62"/>
    <n v="33.69"/>
    <n v="3.41"/>
    <n v="3.96"/>
    <n v="7.51"/>
    <n v="1.89"/>
    <n v="77.37"/>
    <x v="1"/>
    <x v="0"/>
  </r>
  <r>
    <n v="446"/>
    <x v="159"/>
    <s v="C1076"/>
    <x v="5"/>
    <x v="0"/>
    <n v="4"/>
    <n v="250"/>
    <n v="1000"/>
    <n v="110"/>
    <n v="440"/>
    <n v="560"/>
    <x v="1"/>
    <x v="0"/>
    <x v="5"/>
    <n v="37.75"/>
    <n v="45.7"/>
    <n v="5.7"/>
    <n v="23.21"/>
    <n v="3.25"/>
    <n v="11.18"/>
    <n v="5.96"/>
    <n v="0.68"/>
    <n v="426.57"/>
    <x v="1"/>
    <x v="1"/>
  </r>
  <r>
    <n v="447"/>
    <x v="160"/>
    <s v="C1279"/>
    <x v="1"/>
    <x v="0"/>
    <n v="1"/>
    <n v="220"/>
    <n v="220"/>
    <n v="100"/>
    <n v="100"/>
    <n v="120"/>
    <x v="3"/>
    <x v="3"/>
    <x v="5"/>
    <n v="13.34"/>
    <n v="46.62"/>
    <n v="14.38"/>
    <n v="5.21"/>
    <n v="1.05"/>
    <n v="11.52"/>
    <n v="7.86"/>
    <n v="0.09"/>
    <n v="19.93"/>
    <x v="2"/>
    <x v="0"/>
  </r>
  <r>
    <n v="448"/>
    <x v="18"/>
    <s v="C1108"/>
    <x v="6"/>
    <x v="0"/>
    <n v="4"/>
    <n v="180"/>
    <n v="720"/>
    <n v="75"/>
    <n v="300"/>
    <n v="420"/>
    <x v="1"/>
    <x v="1"/>
    <x v="3"/>
    <n v="34.78"/>
    <n v="55.19"/>
    <n v="13.56"/>
    <n v="24.41"/>
    <n v="3.15"/>
    <n v="7.84"/>
    <n v="6.82"/>
    <n v="0.87"/>
    <n v="273.38"/>
    <x v="0"/>
    <x v="0"/>
  </r>
  <r>
    <n v="449"/>
    <x v="31"/>
    <s v="C1112"/>
    <x v="6"/>
    <x v="0"/>
    <n v="3"/>
    <n v="180"/>
    <n v="540"/>
    <n v="75"/>
    <n v="225"/>
    <n v="315"/>
    <x v="4"/>
    <x v="0"/>
    <x v="0"/>
    <n v="28.88"/>
    <n v="26.53"/>
    <n v="19.38"/>
    <n v="17.55"/>
    <n v="1.91"/>
    <n v="7.46"/>
    <n v="3.27"/>
    <n v="2.75"/>
    <n v="207.27"/>
    <x v="2"/>
    <x v="0"/>
  </r>
  <r>
    <n v="450"/>
    <x v="134"/>
    <s v="C1046"/>
    <x v="3"/>
    <x v="2"/>
    <n v="3"/>
    <n v="180"/>
    <n v="540"/>
    <n v="90"/>
    <n v="270"/>
    <n v="270"/>
    <x v="0"/>
    <x v="4"/>
    <x v="1"/>
    <n v="22.09"/>
    <n v="57.49"/>
    <n v="12.93"/>
    <n v="2.19"/>
    <n v="0.19"/>
    <n v="8.08"/>
    <n v="7.77"/>
    <n v="0.56000000000000005"/>
    <n v="158.69999999999999"/>
    <x v="1"/>
    <x v="1"/>
  </r>
  <r>
    <n v="451"/>
    <x v="4"/>
    <s v="C1290"/>
    <x v="4"/>
    <x v="0"/>
    <n v="4"/>
    <n v="120"/>
    <n v="480"/>
    <n v="50"/>
    <n v="200"/>
    <n v="280"/>
    <x v="3"/>
    <x v="4"/>
    <x v="1"/>
    <n v="28.73"/>
    <n v="22.78"/>
    <n v="10.7"/>
    <n v="21.47"/>
    <n v="4.28"/>
    <n v="11.21"/>
    <n v="2.12"/>
    <n v="2.5099999999999998"/>
    <n v="176.2"/>
    <x v="2"/>
    <x v="1"/>
  </r>
  <r>
    <n v="452"/>
    <x v="148"/>
    <s v="C1338"/>
    <x v="3"/>
    <x v="2"/>
    <n v="2"/>
    <n v="180"/>
    <n v="360"/>
    <n v="90"/>
    <n v="180"/>
    <n v="180"/>
    <x v="1"/>
    <x v="0"/>
    <x v="0"/>
    <n v="35.61"/>
    <n v="46.53"/>
    <n v="17"/>
    <n v="20.91"/>
    <n v="2.83"/>
    <n v="12.68"/>
    <n v="7.4"/>
    <n v="1.61"/>
    <n v="35.43"/>
    <x v="0"/>
    <x v="0"/>
  </r>
  <r>
    <n v="453"/>
    <x v="37"/>
    <s v="C1239"/>
    <x v="3"/>
    <x v="2"/>
    <n v="3"/>
    <n v="180"/>
    <n v="540"/>
    <n v="90"/>
    <n v="270"/>
    <n v="270"/>
    <x v="3"/>
    <x v="4"/>
    <x v="1"/>
    <n v="38.950000000000003"/>
    <n v="23.26"/>
    <n v="15.35"/>
    <n v="12.46"/>
    <n v="0.89"/>
    <n v="6.87"/>
    <n v="5.46"/>
    <n v="2.64"/>
    <n v="164.12"/>
    <x v="2"/>
    <x v="1"/>
  </r>
  <r>
    <n v="454"/>
    <x v="78"/>
    <s v="C1066"/>
    <x v="4"/>
    <x v="0"/>
    <n v="1"/>
    <n v="120"/>
    <n v="120"/>
    <n v="50"/>
    <n v="50"/>
    <n v="70"/>
    <x v="2"/>
    <x v="3"/>
    <x v="3"/>
    <n v="35.51"/>
    <n v="39.82"/>
    <n v="16.98"/>
    <n v="19.010000000000002"/>
    <n v="4.7"/>
    <n v="3.21"/>
    <n v="7.51"/>
    <n v="2.37"/>
    <n v="-59.11"/>
    <x v="2"/>
    <x v="0"/>
  </r>
  <r>
    <n v="455"/>
    <x v="30"/>
    <s v="C1350"/>
    <x v="7"/>
    <x v="2"/>
    <n v="1"/>
    <n v="150"/>
    <n v="150"/>
    <n v="70"/>
    <n v="70"/>
    <n v="80"/>
    <x v="1"/>
    <x v="4"/>
    <x v="4"/>
    <n v="26.95"/>
    <n v="40.74"/>
    <n v="11.8"/>
    <n v="21.29"/>
    <n v="2.42"/>
    <n v="6.07"/>
    <n v="5.41"/>
    <n v="1.2"/>
    <n v="-35.880000000000003"/>
    <x v="1"/>
    <x v="0"/>
  </r>
  <r>
    <n v="456"/>
    <x v="75"/>
    <s v="C1348"/>
    <x v="3"/>
    <x v="2"/>
    <n v="3"/>
    <n v="180"/>
    <n v="540"/>
    <n v="90"/>
    <n v="270"/>
    <n v="270"/>
    <x v="3"/>
    <x v="0"/>
    <x v="4"/>
    <n v="25.28"/>
    <n v="26.52"/>
    <n v="6.38"/>
    <n v="34.549999999999997"/>
    <n v="1.7"/>
    <n v="9.59"/>
    <n v="5.72"/>
    <n v="2.04"/>
    <n v="158.22"/>
    <x v="2"/>
    <x v="0"/>
  </r>
  <r>
    <n v="457"/>
    <x v="34"/>
    <s v="C1290"/>
    <x v="4"/>
    <x v="0"/>
    <n v="3"/>
    <n v="120"/>
    <n v="360"/>
    <n v="50"/>
    <n v="150"/>
    <n v="210"/>
    <x v="2"/>
    <x v="2"/>
    <x v="0"/>
    <n v="18.399999999999999"/>
    <n v="49.53"/>
    <n v="5.94"/>
    <n v="11.34"/>
    <n v="0.13"/>
    <n v="7.41"/>
    <n v="1.98"/>
    <n v="2.4300000000000002"/>
    <n v="112.84"/>
    <x v="0"/>
    <x v="0"/>
  </r>
  <r>
    <n v="458"/>
    <x v="106"/>
    <s v="C1182"/>
    <x v="3"/>
    <x v="2"/>
    <n v="2"/>
    <n v="180"/>
    <n v="360"/>
    <n v="90"/>
    <n v="180"/>
    <n v="180"/>
    <x v="0"/>
    <x v="3"/>
    <x v="5"/>
    <n v="13.92"/>
    <n v="36.99"/>
    <n v="19.93"/>
    <n v="4.6100000000000003"/>
    <n v="2.56"/>
    <n v="8.42"/>
    <n v="6.02"/>
    <n v="0.88"/>
    <n v="86.67"/>
    <x v="2"/>
    <x v="0"/>
  </r>
  <r>
    <n v="459"/>
    <x v="161"/>
    <s v="C1313"/>
    <x v="7"/>
    <x v="2"/>
    <n v="3"/>
    <n v="150"/>
    <n v="450"/>
    <n v="70"/>
    <n v="210"/>
    <n v="240"/>
    <x v="1"/>
    <x v="1"/>
    <x v="4"/>
    <n v="30.06"/>
    <n v="45.45"/>
    <n v="12.67"/>
    <n v="32.29"/>
    <n v="2.95"/>
    <n v="5.71"/>
    <n v="5.76"/>
    <n v="2.19"/>
    <n v="102.92"/>
    <x v="1"/>
    <x v="1"/>
  </r>
  <r>
    <n v="460"/>
    <x v="52"/>
    <s v="C1324"/>
    <x v="6"/>
    <x v="0"/>
    <n v="1"/>
    <n v="180"/>
    <n v="180"/>
    <n v="75"/>
    <n v="75"/>
    <n v="105"/>
    <x v="3"/>
    <x v="2"/>
    <x v="5"/>
    <n v="24.2"/>
    <n v="53.82"/>
    <n v="19.72"/>
    <n v="21.96"/>
    <n v="1.61"/>
    <n v="6.04"/>
    <n v="3.69"/>
    <n v="2.79"/>
    <n v="-28.83"/>
    <x v="0"/>
    <x v="1"/>
  </r>
  <r>
    <n v="461"/>
    <x v="22"/>
    <s v="C1292"/>
    <x v="3"/>
    <x v="2"/>
    <n v="3"/>
    <n v="180"/>
    <n v="540"/>
    <n v="90"/>
    <n v="270"/>
    <n v="270"/>
    <x v="0"/>
    <x v="1"/>
    <x v="1"/>
    <n v="37.33"/>
    <n v="29.91"/>
    <n v="7.8"/>
    <n v="12.73"/>
    <n v="4.41"/>
    <n v="14.61"/>
    <n v="5.35"/>
    <n v="2.37"/>
    <n v="155.49"/>
    <x v="2"/>
    <x v="0"/>
  </r>
  <r>
    <n v="462"/>
    <x v="96"/>
    <s v="C1070"/>
    <x v="6"/>
    <x v="0"/>
    <n v="1"/>
    <n v="180"/>
    <n v="180"/>
    <n v="75"/>
    <n v="75"/>
    <n v="105"/>
    <x v="4"/>
    <x v="4"/>
    <x v="5"/>
    <n v="39.380000000000003"/>
    <n v="27.09"/>
    <n v="10.11"/>
    <n v="28.94"/>
    <n v="2.5"/>
    <n v="6.5"/>
    <n v="3.83"/>
    <n v="2"/>
    <n v="-15.35"/>
    <x v="0"/>
    <x v="0"/>
  </r>
  <r>
    <n v="463"/>
    <x v="162"/>
    <s v="C1141"/>
    <x v="6"/>
    <x v="0"/>
    <n v="4"/>
    <n v="180"/>
    <n v="720"/>
    <n v="75"/>
    <n v="300"/>
    <n v="420"/>
    <x v="2"/>
    <x v="4"/>
    <x v="4"/>
    <n v="28.74"/>
    <n v="53.84"/>
    <n v="9"/>
    <n v="28.43"/>
    <n v="0.94"/>
    <n v="12.3"/>
    <n v="7.99"/>
    <n v="2.77"/>
    <n v="275.99"/>
    <x v="1"/>
    <x v="1"/>
  </r>
  <r>
    <n v="464"/>
    <x v="11"/>
    <s v="C1088"/>
    <x v="2"/>
    <x v="1"/>
    <n v="1"/>
    <n v="80"/>
    <n v="80"/>
    <n v="30"/>
    <n v="30"/>
    <n v="50"/>
    <x v="3"/>
    <x v="4"/>
    <x v="5"/>
    <n v="10.26"/>
    <n v="18.23"/>
    <n v="10.5"/>
    <n v="13.3"/>
    <n v="3.07"/>
    <n v="4.1500000000000004"/>
    <n v="3.76"/>
    <n v="2.23"/>
    <n v="-15.5"/>
    <x v="0"/>
    <x v="0"/>
  </r>
  <r>
    <n v="465"/>
    <x v="9"/>
    <s v="C1075"/>
    <x v="1"/>
    <x v="0"/>
    <n v="3"/>
    <n v="220"/>
    <n v="660"/>
    <n v="100"/>
    <n v="300"/>
    <n v="360"/>
    <x v="4"/>
    <x v="0"/>
    <x v="0"/>
    <n v="22.34"/>
    <n v="55.98"/>
    <n v="6.22"/>
    <n v="21.51"/>
    <n v="3.79"/>
    <n v="12.09"/>
    <n v="1.83"/>
    <n v="2.29"/>
    <n v="233.95"/>
    <x v="2"/>
    <x v="1"/>
  </r>
  <r>
    <n v="466"/>
    <x v="56"/>
    <s v="C1108"/>
    <x v="2"/>
    <x v="1"/>
    <n v="4"/>
    <n v="80"/>
    <n v="320"/>
    <n v="30"/>
    <n v="120"/>
    <n v="200"/>
    <x v="1"/>
    <x v="0"/>
    <x v="5"/>
    <n v="29.25"/>
    <n v="36.83"/>
    <n v="7.07"/>
    <n v="7.18"/>
    <n v="0.43"/>
    <n v="9.9"/>
    <n v="3.34"/>
    <n v="2.95"/>
    <n v="103.05"/>
    <x v="0"/>
    <x v="1"/>
  </r>
  <r>
    <n v="467"/>
    <x v="17"/>
    <s v="C1272"/>
    <x v="7"/>
    <x v="2"/>
    <n v="2"/>
    <n v="150"/>
    <n v="300"/>
    <n v="70"/>
    <n v="140"/>
    <n v="160"/>
    <x v="0"/>
    <x v="3"/>
    <x v="0"/>
    <n v="17.239999999999998"/>
    <n v="33.5"/>
    <n v="6.26"/>
    <n v="27.1"/>
    <n v="1.73"/>
    <n v="2.4"/>
    <n v="4.42"/>
    <n v="2.79"/>
    <n v="64.56"/>
    <x v="2"/>
    <x v="0"/>
  </r>
  <r>
    <n v="468"/>
    <x v="142"/>
    <s v="C1307"/>
    <x v="0"/>
    <x v="0"/>
    <n v="1"/>
    <n v="200"/>
    <n v="200"/>
    <n v="90"/>
    <n v="90"/>
    <n v="110"/>
    <x v="3"/>
    <x v="4"/>
    <x v="0"/>
    <n v="16.47"/>
    <n v="19.829999999999998"/>
    <n v="10.26"/>
    <n v="13.51"/>
    <n v="1.44"/>
    <n v="7.46"/>
    <n v="6.56"/>
    <n v="1.1299999999999999"/>
    <n v="33.340000000000003"/>
    <x v="1"/>
    <x v="0"/>
  </r>
  <r>
    <n v="469"/>
    <x v="150"/>
    <s v="C1308"/>
    <x v="0"/>
    <x v="0"/>
    <n v="3"/>
    <n v="200"/>
    <n v="600"/>
    <n v="90"/>
    <n v="270"/>
    <n v="330"/>
    <x v="1"/>
    <x v="3"/>
    <x v="3"/>
    <n v="16.53"/>
    <n v="48"/>
    <n v="14.11"/>
    <n v="25.9"/>
    <n v="4.71"/>
    <n v="4.67"/>
    <n v="1.66"/>
    <n v="1.19"/>
    <n v="213.23"/>
    <x v="2"/>
    <x v="1"/>
  </r>
  <r>
    <n v="470"/>
    <x v="29"/>
    <s v="C1265"/>
    <x v="5"/>
    <x v="0"/>
    <n v="2"/>
    <n v="250"/>
    <n v="500"/>
    <n v="110"/>
    <n v="220"/>
    <n v="280"/>
    <x v="2"/>
    <x v="3"/>
    <x v="5"/>
    <n v="10.69"/>
    <n v="42.27"/>
    <n v="13.85"/>
    <n v="29.28"/>
    <n v="1.35"/>
    <n v="11.59"/>
    <n v="7.86"/>
    <n v="1.1200000000000001"/>
    <n v="161.99"/>
    <x v="1"/>
    <x v="0"/>
  </r>
  <r>
    <n v="471"/>
    <x v="135"/>
    <s v="C1291"/>
    <x v="4"/>
    <x v="0"/>
    <n v="4"/>
    <n v="120"/>
    <n v="480"/>
    <n v="50"/>
    <n v="200"/>
    <n v="280"/>
    <x v="2"/>
    <x v="4"/>
    <x v="2"/>
    <n v="38.82"/>
    <n v="22.3"/>
    <n v="18.86"/>
    <n v="19.760000000000002"/>
    <n v="1.2"/>
    <n v="5.39"/>
    <n v="6.27"/>
    <n v="1.84"/>
    <n v="165.56"/>
    <x v="0"/>
    <x v="1"/>
  </r>
  <r>
    <n v="472"/>
    <x v="44"/>
    <s v="C1060"/>
    <x v="1"/>
    <x v="0"/>
    <n v="2"/>
    <n v="220"/>
    <n v="440"/>
    <n v="100"/>
    <n v="200"/>
    <n v="240"/>
    <x v="0"/>
    <x v="0"/>
    <x v="3"/>
    <n v="25.03"/>
    <n v="17.940000000000001"/>
    <n v="9.4700000000000006"/>
    <n v="11.68"/>
    <n v="2.82"/>
    <n v="7.74"/>
    <n v="2.4"/>
    <n v="2.68"/>
    <n v="160.24"/>
    <x v="1"/>
    <x v="0"/>
  </r>
  <r>
    <n v="473"/>
    <x v="39"/>
    <s v="C1022"/>
    <x v="3"/>
    <x v="2"/>
    <n v="1"/>
    <n v="180"/>
    <n v="180"/>
    <n v="90"/>
    <n v="90"/>
    <n v="90"/>
    <x v="2"/>
    <x v="0"/>
    <x v="0"/>
    <n v="11.11"/>
    <n v="52.63"/>
    <n v="19.57"/>
    <n v="19.23"/>
    <n v="2.9"/>
    <n v="7.53"/>
    <n v="4.1500000000000004"/>
    <n v="0.91"/>
    <n v="-28.03"/>
    <x v="2"/>
    <x v="1"/>
  </r>
  <r>
    <n v="474"/>
    <x v="122"/>
    <s v="C1028"/>
    <x v="6"/>
    <x v="0"/>
    <n v="3"/>
    <n v="180"/>
    <n v="540"/>
    <n v="75"/>
    <n v="225"/>
    <n v="315"/>
    <x v="0"/>
    <x v="1"/>
    <x v="2"/>
    <n v="30.32"/>
    <n v="43.05"/>
    <n v="19.53"/>
    <n v="0.63"/>
    <n v="0.1"/>
    <n v="11.75"/>
    <n v="5.78"/>
    <n v="1.96"/>
    <n v="201.88"/>
    <x v="1"/>
    <x v="1"/>
  </r>
  <r>
    <n v="475"/>
    <x v="68"/>
    <s v="C1091"/>
    <x v="4"/>
    <x v="0"/>
    <n v="2"/>
    <n v="120"/>
    <n v="240"/>
    <n v="50"/>
    <n v="100"/>
    <n v="140"/>
    <x v="2"/>
    <x v="0"/>
    <x v="1"/>
    <n v="24.58"/>
    <n v="42.46"/>
    <n v="11.57"/>
    <n v="16.79"/>
    <n v="3.59"/>
    <n v="5.0599999999999996"/>
    <n v="6.63"/>
    <n v="0.37"/>
    <n v="28.95"/>
    <x v="0"/>
    <x v="1"/>
  </r>
  <r>
    <n v="476"/>
    <x v="103"/>
    <s v="C1029"/>
    <x v="3"/>
    <x v="2"/>
    <n v="3"/>
    <n v="180"/>
    <n v="540"/>
    <n v="90"/>
    <n v="270"/>
    <n v="270"/>
    <x v="3"/>
    <x v="4"/>
    <x v="0"/>
    <n v="24.57"/>
    <n v="33.81"/>
    <n v="6.21"/>
    <n v="19.510000000000002"/>
    <n v="4.45"/>
    <n v="5.42"/>
    <n v="1.91"/>
    <n v="0.86"/>
    <n v="173.26"/>
    <x v="0"/>
    <x v="0"/>
  </r>
  <r>
    <n v="477"/>
    <x v="163"/>
    <s v="C1073"/>
    <x v="7"/>
    <x v="2"/>
    <n v="4"/>
    <n v="150"/>
    <n v="600"/>
    <n v="70"/>
    <n v="280"/>
    <n v="320"/>
    <x v="4"/>
    <x v="0"/>
    <x v="0"/>
    <n v="32.130000000000003"/>
    <n v="29.22"/>
    <n v="9.9"/>
    <n v="2.63"/>
    <n v="2.92"/>
    <n v="12.52"/>
    <n v="5.58"/>
    <n v="2.16"/>
    <n v="222.94"/>
    <x v="2"/>
    <x v="0"/>
  </r>
  <r>
    <n v="478"/>
    <x v="111"/>
    <s v="C1331"/>
    <x v="1"/>
    <x v="0"/>
    <n v="4"/>
    <n v="220"/>
    <n v="880"/>
    <n v="100"/>
    <n v="400"/>
    <n v="480"/>
    <x v="0"/>
    <x v="0"/>
    <x v="0"/>
    <n v="12.24"/>
    <n v="17.41"/>
    <n v="19.22"/>
    <n v="14.77"/>
    <n v="0.8"/>
    <n v="9.11"/>
    <n v="5.07"/>
    <n v="1.07"/>
    <n v="400.31"/>
    <x v="0"/>
    <x v="1"/>
  </r>
  <r>
    <n v="479"/>
    <x v="77"/>
    <s v="C1198"/>
    <x v="4"/>
    <x v="0"/>
    <n v="4"/>
    <n v="120"/>
    <n v="480"/>
    <n v="50"/>
    <n v="200"/>
    <n v="280"/>
    <x v="2"/>
    <x v="3"/>
    <x v="2"/>
    <n v="33.65"/>
    <n v="37.19"/>
    <n v="12.16"/>
    <n v="25.48"/>
    <n v="1.07"/>
    <n v="14.59"/>
    <n v="7.89"/>
    <n v="2.4500000000000002"/>
    <n v="145.52000000000001"/>
    <x v="2"/>
    <x v="1"/>
  </r>
  <r>
    <n v="480"/>
    <x v="146"/>
    <s v="C1023"/>
    <x v="3"/>
    <x v="2"/>
    <n v="1"/>
    <n v="180"/>
    <n v="180"/>
    <n v="90"/>
    <n v="90"/>
    <n v="90"/>
    <x v="0"/>
    <x v="4"/>
    <x v="1"/>
    <n v="32.35"/>
    <n v="27.62"/>
    <n v="11"/>
    <n v="27.67"/>
    <n v="4.82"/>
    <n v="12.95"/>
    <n v="7.5"/>
    <n v="1.28"/>
    <n v="-35.19"/>
    <x v="1"/>
    <x v="1"/>
  </r>
  <r>
    <n v="481"/>
    <x v="58"/>
    <s v="C1201"/>
    <x v="0"/>
    <x v="0"/>
    <n v="1"/>
    <n v="200"/>
    <n v="200"/>
    <n v="90"/>
    <n v="90"/>
    <n v="110"/>
    <x v="1"/>
    <x v="2"/>
    <x v="3"/>
    <n v="38.799999999999997"/>
    <n v="35.94"/>
    <n v="9.25"/>
    <n v="16.72"/>
    <n v="2.88"/>
    <n v="13.96"/>
    <n v="4.97"/>
    <n v="0.56000000000000005"/>
    <n v="-13.08"/>
    <x v="1"/>
    <x v="0"/>
  </r>
  <r>
    <n v="482"/>
    <x v="103"/>
    <s v="C1012"/>
    <x v="0"/>
    <x v="0"/>
    <n v="1"/>
    <n v="200"/>
    <n v="200"/>
    <n v="90"/>
    <n v="90"/>
    <n v="110"/>
    <x v="2"/>
    <x v="2"/>
    <x v="1"/>
    <n v="21.77"/>
    <n v="17.440000000000001"/>
    <n v="8.16"/>
    <n v="30.1"/>
    <n v="0.18"/>
    <n v="3.87"/>
    <n v="7.82"/>
    <n v="0.46"/>
    <n v="20.2"/>
    <x v="0"/>
    <x v="0"/>
  </r>
  <r>
    <n v="483"/>
    <x v="73"/>
    <s v="C1182"/>
    <x v="6"/>
    <x v="0"/>
    <n v="2"/>
    <n v="180"/>
    <n v="360"/>
    <n v="75"/>
    <n v="150"/>
    <n v="210"/>
    <x v="0"/>
    <x v="3"/>
    <x v="4"/>
    <n v="34.090000000000003"/>
    <n v="38.200000000000003"/>
    <n v="12.53"/>
    <n v="17.8"/>
    <n v="3.97"/>
    <n v="13.35"/>
    <n v="5.03"/>
    <n v="2.46"/>
    <n v="82.57"/>
    <x v="1"/>
    <x v="1"/>
  </r>
  <r>
    <n v="484"/>
    <x v="34"/>
    <s v="C1148"/>
    <x v="5"/>
    <x v="0"/>
    <n v="3"/>
    <n v="250"/>
    <n v="750"/>
    <n v="110"/>
    <n v="330"/>
    <n v="420"/>
    <x v="4"/>
    <x v="4"/>
    <x v="1"/>
    <n v="38.049999999999997"/>
    <n v="43.82"/>
    <n v="13.94"/>
    <n v="33.99"/>
    <n v="4.66"/>
    <n v="4.8600000000000003"/>
    <n v="6.79"/>
    <n v="2.02"/>
    <n v="271.87"/>
    <x v="0"/>
    <x v="1"/>
  </r>
  <r>
    <n v="485"/>
    <x v="84"/>
    <s v="C1220"/>
    <x v="6"/>
    <x v="0"/>
    <n v="4"/>
    <n v="180"/>
    <n v="720"/>
    <n v="75"/>
    <n v="300"/>
    <n v="420"/>
    <x v="3"/>
    <x v="1"/>
    <x v="3"/>
    <n v="24.09"/>
    <n v="55.4"/>
    <n v="11.24"/>
    <n v="29.61"/>
    <n v="3.64"/>
    <n v="4.53"/>
    <n v="7.99"/>
    <n v="0.47"/>
    <n v="283.02999999999997"/>
    <x v="1"/>
    <x v="0"/>
  </r>
  <r>
    <n v="486"/>
    <x v="68"/>
    <s v="C1160"/>
    <x v="1"/>
    <x v="0"/>
    <n v="2"/>
    <n v="220"/>
    <n v="440"/>
    <n v="100"/>
    <n v="200"/>
    <n v="240"/>
    <x v="3"/>
    <x v="4"/>
    <x v="2"/>
    <n v="24.71"/>
    <n v="27.91"/>
    <n v="11.7"/>
    <n v="12.98"/>
    <n v="4.74"/>
    <n v="14.73"/>
    <n v="3.1"/>
    <n v="0.35"/>
    <n v="139.78"/>
    <x v="0"/>
    <x v="0"/>
  </r>
  <r>
    <n v="487"/>
    <x v="137"/>
    <s v="C1300"/>
    <x v="1"/>
    <x v="0"/>
    <n v="4"/>
    <n v="220"/>
    <n v="880"/>
    <n v="100"/>
    <n v="400"/>
    <n v="480"/>
    <x v="4"/>
    <x v="3"/>
    <x v="4"/>
    <n v="26.36"/>
    <n v="36.119999999999997"/>
    <n v="5.91"/>
    <n v="23.3"/>
    <n v="1.29"/>
    <n v="7.51"/>
    <n v="1.32"/>
    <n v="0.41"/>
    <n v="377.78"/>
    <x v="2"/>
    <x v="1"/>
  </r>
  <r>
    <n v="488"/>
    <x v="164"/>
    <s v="C1322"/>
    <x v="0"/>
    <x v="0"/>
    <n v="3"/>
    <n v="200"/>
    <n v="600"/>
    <n v="90"/>
    <n v="270"/>
    <n v="330"/>
    <x v="2"/>
    <x v="3"/>
    <x v="4"/>
    <n v="26.96"/>
    <n v="54.42"/>
    <n v="8.82"/>
    <n v="24.65"/>
    <n v="3.28"/>
    <n v="5.46"/>
    <n v="5.54"/>
    <n v="0.55000000000000004"/>
    <n v="200.32"/>
    <x v="1"/>
    <x v="0"/>
  </r>
  <r>
    <n v="489"/>
    <x v="67"/>
    <s v="C1015"/>
    <x v="7"/>
    <x v="2"/>
    <n v="1"/>
    <n v="150"/>
    <n v="150"/>
    <n v="70"/>
    <n v="70"/>
    <n v="80"/>
    <x v="0"/>
    <x v="4"/>
    <x v="0"/>
    <n v="39.31"/>
    <n v="15.72"/>
    <n v="12.44"/>
    <n v="10.75"/>
    <n v="4.3"/>
    <n v="7.25"/>
    <n v="6.44"/>
    <n v="2.2999999999999998"/>
    <n v="-18.510000000000002"/>
    <x v="0"/>
    <x v="1"/>
  </r>
  <r>
    <n v="490"/>
    <x v="89"/>
    <s v="C1136"/>
    <x v="6"/>
    <x v="0"/>
    <n v="4"/>
    <n v="180"/>
    <n v="720"/>
    <n v="75"/>
    <n v="300"/>
    <n v="420"/>
    <x v="1"/>
    <x v="3"/>
    <x v="0"/>
    <n v="26.48"/>
    <n v="57.12"/>
    <n v="12.86"/>
    <n v="20.170000000000002"/>
    <n v="2.11"/>
    <n v="10.31"/>
    <n v="7.7"/>
    <n v="2.0699999999999998"/>
    <n v="281.18"/>
    <x v="0"/>
    <x v="0"/>
  </r>
  <r>
    <n v="491"/>
    <x v="13"/>
    <s v="C1281"/>
    <x v="0"/>
    <x v="0"/>
    <n v="1"/>
    <n v="200"/>
    <n v="200"/>
    <n v="90"/>
    <n v="90"/>
    <n v="110"/>
    <x v="1"/>
    <x v="3"/>
    <x v="1"/>
    <n v="30.84"/>
    <n v="42.22"/>
    <n v="16.88"/>
    <n v="2"/>
    <n v="2.73"/>
    <n v="3.42"/>
    <n v="1.69"/>
    <n v="0.96"/>
    <n v="9.26"/>
    <x v="2"/>
    <x v="1"/>
  </r>
  <r>
    <n v="492"/>
    <x v="58"/>
    <s v="C1149"/>
    <x v="5"/>
    <x v="0"/>
    <n v="1"/>
    <n v="250"/>
    <n v="250"/>
    <n v="110"/>
    <n v="110"/>
    <n v="140"/>
    <x v="2"/>
    <x v="1"/>
    <x v="3"/>
    <n v="39.46"/>
    <n v="32.74"/>
    <n v="16"/>
    <n v="3.03"/>
    <n v="3.48"/>
    <n v="11.01"/>
    <n v="2.2999999999999998"/>
    <n v="0.28999999999999998"/>
    <n v="31.69"/>
    <x v="0"/>
    <x v="1"/>
  </r>
  <r>
    <n v="493"/>
    <x v="39"/>
    <s v="C1031"/>
    <x v="3"/>
    <x v="2"/>
    <n v="4"/>
    <n v="180"/>
    <n v="720"/>
    <n v="90"/>
    <n v="360"/>
    <n v="360"/>
    <x v="3"/>
    <x v="3"/>
    <x v="3"/>
    <n v="10.29"/>
    <n v="55.98"/>
    <n v="19.579999999999998"/>
    <n v="34.18"/>
    <n v="2.4700000000000002"/>
    <n v="12.81"/>
    <n v="7.99"/>
    <n v="1.5"/>
    <n v="215.2"/>
    <x v="0"/>
    <x v="0"/>
  </r>
  <r>
    <n v="494"/>
    <x v="127"/>
    <s v="C1278"/>
    <x v="6"/>
    <x v="0"/>
    <n v="3"/>
    <n v="180"/>
    <n v="540"/>
    <n v="75"/>
    <n v="225"/>
    <n v="315"/>
    <x v="3"/>
    <x v="4"/>
    <x v="2"/>
    <n v="13.42"/>
    <n v="44.62"/>
    <n v="12.57"/>
    <n v="17.43"/>
    <n v="0.24"/>
    <n v="8.6999999999999993"/>
    <n v="4.82"/>
    <n v="2.92"/>
    <n v="210.28"/>
    <x v="0"/>
    <x v="0"/>
  </r>
  <r>
    <n v="495"/>
    <x v="79"/>
    <s v="C1286"/>
    <x v="7"/>
    <x v="2"/>
    <n v="2"/>
    <n v="150"/>
    <n v="300"/>
    <n v="70"/>
    <n v="140"/>
    <n v="160"/>
    <x v="4"/>
    <x v="0"/>
    <x v="0"/>
    <n v="14.15"/>
    <n v="49.57"/>
    <n v="14.5"/>
    <n v="34.71"/>
    <n v="3.72"/>
    <n v="9.1"/>
    <n v="6.76"/>
    <n v="1.72"/>
    <n v="25.77"/>
    <x v="1"/>
    <x v="1"/>
  </r>
  <r>
    <n v="496"/>
    <x v="136"/>
    <s v="C1225"/>
    <x v="7"/>
    <x v="2"/>
    <n v="4"/>
    <n v="150"/>
    <n v="600"/>
    <n v="70"/>
    <n v="280"/>
    <n v="320"/>
    <x v="4"/>
    <x v="3"/>
    <x v="0"/>
    <n v="11.78"/>
    <n v="23.79"/>
    <n v="19.39"/>
    <n v="29.23"/>
    <n v="3.48"/>
    <n v="2.91"/>
    <n v="5.14"/>
    <n v="2.42"/>
    <n v="221.86"/>
    <x v="1"/>
    <x v="0"/>
  </r>
  <r>
    <n v="497"/>
    <x v="96"/>
    <s v="C1239"/>
    <x v="1"/>
    <x v="0"/>
    <n v="4"/>
    <n v="220"/>
    <n v="880"/>
    <n v="100"/>
    <n v="400"/>
    <n v="480"/>
    <x v="3"/>
    <x v="4"/>
    <x v="3"/>
    <n v="32.81"/>
    <n v="59.27"/>
    <n v="10.58"/>
    <n v="34.58"/>
    <n v="4.32"/>
    <n v="5.41"/>
    <n v="3.07"/>
    <n v="0.03"/>
    <n v="329.93"/>
    <x v="2"/>
    <x v="0"/>
  </r>
  <r>
    <n v="498"/>
    <x v="165"/>
    <s v="C1212"/>
    <x v="7"/>
    <x v="2"/>
    <n v="2"/>
    <n v="150"/>
    <n v="300"/>
    <n v="70"/>
    <n v="140"/>
    <n v="160"/>
    <x v="1"/>
    <x v="4"/>
    <x v="0"/>
    <n v="17.37"/>
    <n v="41.88"/>
    <n v="17.600000000000001"/>
    <n v="19.350000000000001"/>
    <n v="4.0599999999999996"/>
    <n v="5.59"/>
    <n v="7.36"/>
    <n v="2.69"/>
    <n v="44.1"/>
    <x v="1"/>
    <x v="1"/>
  </r>
  <r>
    <n v="499"/>
    <x v="128"/>
    <s v="C1128"/>
    <x v="0"/>
    <x v="0"/>
    <n v="4"/>
    <n v="200"/>
    <n v="800"/>
    <n v="90"/>
    <n v="360"/>
    <n v="440"/>
    <x v="4"/>
    <x v="4"/>
    <x v="0"/>
    <n v="33.299999999999997"/>
    <n v="36.89"/>
    <n v="9.41"/>
    <n v="16.36"/>
    <n v="0.26"/>
    <n v="2.88"/>
    <n v="3.48"/>
    <n v="0.72"/>
    <n v="336.7"/>
    <x v="0"/>
    <x v="0"/>
  </r>
  <r>
    <n v="500"/>
    <x v="123"/>
    <s v="C1130"/>
    <x v="2"/>
    <x v="1"/>
    <n v="2"/>
    <n v="80"/>
    <n v="160"/>
    <n v="30"/>
    <n v="60"/>
    <n v="100"/>
    <x v="4"/>
    <x v="1"/>
    <x v="2"/>
    <n v="33.03"/>
    <n v="26.31"/>
    <n v="16.100000000000001"/>
    <n v="32.799999999999997"/>
    <n v="1.76"/>
    <n v="7.87"/>
    <n v="3.32"/>
    <n v="1.21"/>
    <n v="-22.4"/>
    <x v="1"/>
    <x v="1"/>
  </r>
  <r>
    <n v="501"/>
    <x v="44"/>
    <s v="C1344"/>
    <x v="4"/>
    <x v="0"/>
    <n v="1"/>
    <n v="120"/>
    <n v="120"/>
    <n v="50"/>
    <n v="50"/>
    <n v="70"/>
    <x v="4"/>
    <x v="2"/>
    <x v="5"/>
    <n v="14.84"/>
    <n v="32.36"/>
    <n v="7.65"/>
    <n v="18.5"/>
    <n v="1.29"/>
    <n v="11.9"/>
    <n v="6.61"/>
    <n v="1.4"/>
    <n v="-24.55"/>
    <x v="1"/>
    <x v="1"/>
  </r>
  <r>
    <n v="502"/>
    <x v="69"/>
    <s v="C1002"/>
    <x v="0"/>
    <x v="0"/>
    <n v="3"/>
    <n v="200"/>
    <n v="600"/>
    <n v="90"/>
    <n v="270"/>
    <n v="330"/>
    <x v="1"/>
    <x v="0"/>
    <x v="4"/>
    <n v="17.59"/>
    <n v="24.93"/>
    <n v="6.37"/>
    <n v="32.75"/>
    <n v="2.06"/>
    <n v="4.92"/>
    <n v="1.93"/>
    <n v="0.66"/>
    <n v="238.79"/>
    <x v="1"/>
    <x v="0"/>
  </r>
  <r>
    <n v="503"/>
    <x v="38"/>
    <s v="C1057"/>
    <x v="3"/>
    <x v="2"/>
    <n v="1"/>
    <n v="180"/>
    <n v="180"/>
    <n v="90"/>
    <n v="90"/>
    <n v="90"/>
    <x v="4"/>
    <x v="2"/>
    <x v="0"/>
    <n v="30.16"/>
    <n v="51.37"/>
    <n v="8.0299999999999994"/>
    <n v="13.97"/>
    <n v="0.76"/>
    <n v="11.76"/>
    <n v="2.88"/>
    <n v="2.86"/>
    <n v="-31.79"/>
    <x v="2"/>
    <x v="1"/>
  </r>
  <r>
    <n v="504"/>
    <x v="51"/>
    <s v="C1028"/>
    <x v="1"/>
    <x v="0"/>
    <n v="3"/>
    <n v="220"/>
    <n v="660"/>
    <n v="100"/>
    <n v="300"/>
    <n v="360"/>
    <x v="0"/>
    <x v="3"/>
    <x v="2"/>
    <n v="21.71"/>
    <n v="31.99"/>
    <n v="16.93"/>
    <n v="34.78"/>
    <n v="2.29"/>
    <n v="4.72"/>
    <n v="1.1399999999999999"/>
    <n v="1.75"/>
    <n v="244.69"/>
    <x v="2"/>
    <x v="1"/>
  </r>
  <r>
    <n v="505"/>
    <x v="54"/>
    <s v="C1163"/>
    <x v="3"/>
    <x v="2"/>
    <n v="3"/>
    <n v="180"/>
    <n v="540"/>
    <n v="90"/>
    <n v="270"/>
    <n v="270"/>
    <x v="3"/>
    <x v="0"/>
    <x v="3"/>
    <n v="29.79"/>
    <n v="52.47"/>
    <n v="7.42"/>
    <n v="26.19"/>
    <n v="2.54"/>
    <n v="7.14"/>
    <n v="1.46"/>
    <n v="1.95"/>
    <n v="141.04"/>
    <x v="1"/>
    <x v="1"/>
  </r>
  <r>
    <n v="506"/>
    <x v="83"/>
    <s v="C1331"/>
    <x v="0"/>
    <x v="0"/>
    <n v="4"/>
    <n v="200"/>
    <n v="800"/>
    <n v="90"/>
    <n v="360"/>
    <n v="440"/>
    <x v="0"/>
    <x v="4"/>
    <x v="3"/>
    <n v="12.1"/>
    <n v="55.7"/>
    <n v="11.34"/>
    <n v="25.25"/>
    <n v="2.4700000000000002"/>
    <n v="12.75"/>
    <n v="4.04"/>
    <n v="0.22"/>
    <n v="316.13"/>
    <x v="0"/>
    <x v="0"/>
  </r>
  <r>
    <n v="507"/>
    <x v="66"/>
    <s v="C1022"/>
    <x v="5"/>
    <x v="0"/>
    <n v="2"/>
    <n v="250"/>
    <n v="500"/>
    <n v="110"/>
    <n v="220"/>
    <n v="280"/>
    <x v="2"/>
    <x v="4"/>
    <x v="0"/>
    <n v="39.92"/>
    <n v="19.78"/>
    <n v="14.37"/>
    <n v="18.260000000000002"/>
    <n v="2.19"/>
    <n v="2.2400000000000002"/>
    <n v="4.29"/>
    <n v="0.2"/>
    <n v="178.75"/>
    <x v="1"/>
    <x v="0"/>
  </r>
  <r>
    <n v="508"/>
    <x v="91"/>
    <s v="C1129"/>
    <x v="5"/>
    <x v="0"/>
    <n v="2"/>
    <n v="250"/>
    <n v="500"/>
    <n v="110"/>
    <n v="220"/>
    <n v="280"/>
    <x v="3"/>
    <x v="0"/>
    <x v="3"/>
    <n v="39.24"/>
    <n v="18.79"/>
    <n v="6.75"/>
    <n v="19.16"/>
    <n v="2.02"/>
    <n v="9.43"/>
    <n v="2.11"/>
    <n v="1.54"/>
    <n v="180.96"/>
    <x v="0"/>
    <x v="1"/>
  </r>
  <r>
    <n v="509"/>
    <x v="57"/>
    <s v="C1153"/>
    <x v="6"/>
    <x v="0"/>
    <n v="2"/>
    <n v="180"/>
    <n v="360"/>
    <n v="75"/>
    <n v="150"/>
    <n v="210"/>
    <x v="3"/>
    <x v="3"/>
    <x v="1"/>
    <n v="34.979999999999997"/>
    <n v="47.88"/>
    <n v="11.98"/>
    <n v="25.1"/>
    <n v="4.67"/>
    <n v="13.51"/>
    <n v="4.2699999999999996"/>
    <n v="2.8"/>
    <n v="64.81"/>
    <x v="1"/>
    <x v="1"/>
  </r>
  <r>
    <n v="510"/>
    <x v="3"/>
    <s v="C1184"/>
    <x v="7"/>
    <x v="2"/>
    <n v="2"/>
    <n v="150"/>
    <n v="300"/>
    <n v="70"/>
    <n v="140"/>
    <n v="160"/>
    <x v="4"/>
    <x v="1"/>
    <x v="4"/>
    <n v="32.9"/>
    <n v="58.92"/>
    <n v="14.77"/>
    <n v="31.46"/>
    <n v="4.43"/>
    <n v="5.41"/>
    <n v="5.43"/>
    <n v="0.1"/>
    <n v="6.58"/>
    <x v="1"/>
    <x v="1"/>
  </r>
  <r>
    <n v="511"/>
    <x v="66"/>
    <s v="C1272"/>
    <x v="4"/>
    <x v="0"/>
    <n v="2"/>
    <n v="120"/>
    <n v="240"/>
    <n v="50"/>
    <n v="100"/>
    <n v="140"/>
    <x v="3"/>
    <x v="2"/>
    <x v="0"/>
    <n v="38.72"/>
    <n v="54.96"/>
    <n v="19.34"/>
    <n v="32.51"/>
    <n v="0.26"/>
    <n v="13.87"/>
    <n v="3.87"/>
    <n v="2.83"/>
    <n v="-26.36"/>
    <x v="1"/>
    <x v="1"/>
  </r>
  <r>
    <n v="512"/>
    <x v="98"/>
    <s v="C1197"/>
    <x v="5"/>
    <x v="0"/>
    <n v="4"/>
    <n v="250"/>
    <n v="1000"/>
    <n v="110"/>
    <n v="440"/>
    <n v="560"/>
    <x v="4"/>
    <x v="3"/>
    <x v="1"/>
    <n v="26.2"/>
    <n v="57.19"/>
    <n v="11"/>
    <n v="15.92"/>
    <n v="4.21"/>
    <n v="5.23"/>
    <n v="2.91"/>
    <n v="2.56"/>
    <n v="434.78"/>
    <x v="2"/>
    <x v="1"/>
  </r>
  <r>
    <n v="513"/>
    <x v="3"/>
    <s v="C1065"/>
    <x v="4"/>
    <x v="0"/>
    <n v="3"/>
    <n v="120"/>
    <n v="360"/>
    <n v="50"/>
    <n v="150"/>
    <n v="210"/>
    <x v="2"/>
    <x v="0"/>
    <x v="5"/>
    <n v="28.34"/>
    <n v="40.119999999999997"/>
    <n v="14.32"/>
    <n v="34.25"/>
    <n v="3.31"/>
    <n v="6.26"/>
    <n v="3.79"/>
    <n v="1.01"/>
    <n v="78.599999999999994"/>
    <x v="0"/>
    <x v="1"/>
  </r>
  <r>
    <n v="514"/>
    <x v="100"/>
    <s v="C1291"/>
    <x v="2"/>
    <x v="1"/>
    <n v="4"/>
    <n v="80"/>
    <n v="320"/>
    <n v="30"/>
    <n v="120"/>
    <n v="200"/>
    <x v="3"/>
    <x v="2"/>
    <x v="3"/>
    <n v="22.95"/>
    <n v="42.06"/>
    <n v="11.7"/>
    <n v="11.68"/>
    <n v="3.89"/>
    <n v="3.34"/>
    <n v="3.46"/>
    <n v="1.9"/>
    <n v="99.02"/>
    <x v="1"/>
    <x v="1"/>
  </r>
  <r>
    <n v="515"/>
    <x v="145"/>
    <s v="C1028"/>
    <x v="6"/>
    <x v="0"/>
    <n v="4"/>
    <n v="180"/>
    <n v="720"/>
    <n v="75"/>
    <n v="300"/>
    <n v="420"/>
    <x v="4"/>
    <x v="2"/>
    <x v="1"/>
    <n v="36.479999999999997"/>
    <n v="19.25"/>
    <n v="10.32"/>
    <n v="8.84"/>
    <n v="0.02"/>
    <n v="5.12"/>
    <n v="3.74"/>
    <n v="1.0900000000000001"/>
    <n v="335.14"/>
    <x v="1"/>
    <x v="1"/>
  </r>
  <r>
    <n v="516"/>
    <x v="133"/>
    <s v="C1002"/>
    <x v="1"/>
    <x v="0"/>
    <n v="3"/>
    <n v="220"/>
    <n v="660"/>
    <n v="100"/>
    <n v="300"/>
    <n v="360"/>
    <x v="2"/>
    <x v="4"/>
    <x v="5"/>
    <n v="13.03"/>
    <n v="18.149999999999999"/>
    <n v="6.45"/>
    <n v="2.5099999999999998"/>
    <n v="4.6399999999999997"/>
    <n v="4.17"/>
    <n v="6.06"/>
    <n v="0.12"/>
    <n v="304.87"/>
    <x v="2"/>
    <x v="1"/>
  </r>
  <r>
    <n v="517"/>
    <x v="118"/>
    <s v="C1108"/>
    <x v="0"/>
    <x v="0"/>
    <n v="4"/>
    <n v="200"/>
    <n v="800"/>
    <n v="90"/>
    <n v="360"/>
    <n v="440"/>
    <x v="0"/>
    <x v="4"/>
    <x v="4"/>
    <n v="26.85"/>
    <n v="49.89"/>
    <n v="13.64"/>
    <n v="21.84"/>
    <n v="4.3"/>
    <n v="8.93"/>
    <n v="1.3"/>
    <n v="1.43"/>
    <n v="311.82"/>
    <x v="1"/>
    <x v="0"/>
  </r>
  <r>
    <n v="518"/>
    <x v="35"/>
    <s v="C1034"/>
    <x v="5"/>
    <x v="0"/>
    <n v="2"/>
    <n v="250"/>
    <n v="500"/>
    <n v="110"/>
    <n v="220"/>
    <n v="280"/>
    <x v="2"/>
    <x v="1"/>
    <x v="4"/>
    <n v="18.100000000000001"/>
    <n v="44.95"/>
    <n v="5.2"/>
    <n v="26.66"/>
    <n v="2.74"/>
    <n v="7.03"/>
    <n v="1.99"/>
    <n v="0.85"/>
    <n v="172.48"/>
    <x v="1"/>
    <x v="0"/>
  </r>
  <r>
    <n v="519"/>
    <x v="166"/>
    <s v="C1336"/>
    <x v="5"/>
    <x v="0"/>
    <n v="3"/>
    <n v="250"/>
    <n v="750"/>
    <n v="110"/>
    <n v="330"/>
    <n v="420"/>
    <x v="0"/>
    <x v="0"/>
    <x v="5"/>
    <n v="12.47"/>
    <n v="18.920000000000002"/>
    <n v="17.940000000000001"/>
    <n v="34.700000000000003"/>
    <n v="3.45"/>
    <n v="6.01"/>
    <n v="4.71"/>
    <n v="0.84"/>
    <n v="320.95999999999998"/>
    <x v="1"/>
    <x v="1"/>
  </r>
  <r>
    <n v="520"/>
    <x v="49"/>
    <s v="C1143"/>
    <x v="1"/>
    <x v="0"/>
    <n v="3"/>
    <n v="220"/>
    <n v="660"/>
    <n v="100"/>
    <n v="300"/>
    <n v="360"/>
    <x v="3"/>
    <x v="2"/>
    <x v="5"/>
    <n v="32.119999999999997"/>
    <n v="19.399999999999999"/>
    <n v="5.0999999999999996"/>
    <n v="26.98"/>
    <n v="0.47"/>
    <n v="12.05"/>
    <n v="7.95"/>
    <n v="2.12"/>
    <n v="253.81"/>
    <x v="2"/>
    <x v="0"/>
  </r>
  <r>
    <n v="521"/>
    <x v="56"/>
    <s v="C1188"/>
    <x v="7"/>
    <x v="2"/>
    <n v="1"/>
    <n v="150"/>
    <n v="150"/>
    <n v="70"/>
    <n v="70"/>
    <n v="80"/>
    <x v="3"/>
    <x v="3"/>
    <x v="2"/>
    <n v="18.260000000000002"/>
    <n v="42.43"/>
    <n v="17.850000000000001"/>
    <n v="28.52"/>
    <n v="2.94"/>
    <n v="3.33"/>
    <n v="6.36"/>
    <n v="2.0499999999999998"/>
    <n v="-41.74"/>
    <x v="0"/>
    <x v="1"/>
  </r>
  <r>
    <n v="522"/>
    <x v="58"/>
    <s v="C1326"/>
    <x v="2"/>
    <x v="1"/>
    <n v="1"/>
    <n v="80"/>
    <n v="80"/>
    <n v="30"/>
    <n v="30"/>
    <n v="50"/>
    <x v="0"/>
    <x v="3"/>
    <x v="5"/>
    <n v="35.86"/>
    <n v="25.95"/>
    <n v="6.46"/>
    <n v="16.63"/>
    <n v="2.68"/>
    <n v="4.88"/>
    <n v="6.69"/>
    <n v="0.48"/>
    <n v="-49.63"/>
    <x v="1"/>
    <x v="1"/>
  </r>
  <r>
    <n v="523"/>
    <x v="115"/>
    <s v="C1052"/>
    <x v="7"/>
    <x v="2"/>
    <n v="4"/>
    <n v="150"/>
    <n v="600"/>
    <n v="70"/>
    <n v="280"/>
    <n v="320"/>
    <x v="1"/>
    <x v="1"/>
    <x v="2"/>
    <n v="19.2"/>
    <n v="17.86"/>
    <n v="12.49"/>
    <n v="16.87"/>
    <n v="3.21"/>
    <n v="11.33"/>
    <n v="2.65"/>
    <n v="1.36"/>
    <n v="235.03"/>
    <x v="0"/>
    <x v="0"/>
  </r>
  <r>
    <n v="524"/>
    <x v="149"/>
    <s v="C1017"/>
    <x v="0"/>
    <x v="0"/>
    <n v="2"/>
    <n v="200"/>
    <n v="400"/>
    <n v="90"/>
    <n v="180"/>
    <n v="220"/>
    <x v="3"/>
    <x v="2"/>
    <x v="3"/>
    <n v="28.09"/>
    <n v="37.5"/>
    <n v="19.61"/>
    <n v="19.559999999999999"/>
    <n v="1"/>
    <n v="3.07"/>
    <n v="1.27"/>
    <n v="2.21"/>
    <n v="107.69"/>
    <x v="0"/>
    <x v="1"/>
  </r>
  <r>
    <n v="525"/>
    <x v="6"/>
    <s v="C1309"/>
    <x v="3"/>
    <x v="2"/>
    <n v="2"/>
    <n v="180"/>
    <n v="360"/>
    <n v="90"/>
    <n v="180"/>
    <n v="180"/>
    <x v="3"/>
    <x v="4"/>
    <x v="4"/>
    <n v="14.95"/>
    <n v="20.2"/>
    <n v="17.21"/>
    <n v="21.25"/>
    <n v="1.81"/>
    <n v="4.99"/>
    <n v="6.03"/>
    <n v="2.29"/>
    <n v="91.27"/>
    <x v="1"/>
    <x v="0"/>
  </r>
  <r>
    <n v="526"/>
    <x v="30"/>
    <s v="C1304"/>
    <x v="0"/>
    <x v="0"/>
    <n v="1"/>
    <n v="200"/>
    <n v="200"/>
    <n v="90"/>
    <n v="90"/>
    <n v="110"/>
    <x v="2"/>
    <x v="2"/>
    <x v="0"/>
    <n v="22.61"/>
    <n v="54.16"/>
    <n v="8.25"/>
    <n v="20.149999999999999"/>
    <n v="3.33"/>
    <n v="7.41"/>
    <n v="3.26"/>
    <n v="1.37"/>
    <n v="-10.54"/>
    <x v="2"/>
    <x v="1"/>
  </r>
  <r>
    <n v="527"/>
    <x v="105"/>
    <s v="C1301"/>
    <x v="0"/>
    <x v="0"/>
    <n v="1"/>
    <n v="200"/>
    <n v="200"/>
    <n v="90"/>
    <n v="90"/>
    <n v="110"/>
    <x v="0"/>
    <x v="4"/>
    <x v="2"/>
    <n v="19.53"/>
    <n v="26.61"/>
    <n v="11.92"/>
    <n v="22.26"/>
    <n v="2.0699999999999998"/>
    <n v="4.59"/>
    <n v="7.64"/>
    <n v="0.52"/>
    <n v="14.86"/>
    <x v="2"/>
    <x v="1"/>
  </r>
  <r>
    <n v="528"/>
    <x v="8"/>
    <s v="C1293"/>
    <x v="4"/>
    <x v="0"/>
    <n v="1"/>
    <n v="120"/>
    <n v="120"/>
    <n v="50"/>
    <n v="50"/>
    <n v="70"/>
    <x v="0"/>
    <x v="0"/>
    <x v="2"/>
    <n v="17.059999999999999"/>
    <n v="45.92"/>
    <n v="19.510000000000002"/>
    <n v="5.85"/>
    <n v="0.47"/>
    <n v="4.66"/>
    <n v="7.28"/>
    <n v="2.8"/>
    <n v="-33.549999999999997"/>
    <x v="2"/>
    <x v="1"/>
  </r>
  <r>
    <n v="529"/>
    <x v="45"/>
    <s v="C1006"/>
    <x v="2"/>
    <x v="1"/>
    <n v="2"/>
    <n v="80"/>
    <n v="160"/>
    <n v="30"/>
    <n v="60"/>
    <n v="100"/>
    <x v="4"/>
    <x v="2"/>
    <x v="3"/>
    <n v="14"/>
    <n v="37.99"/>
    <n v="17.850000000000001"/>
    <n v="34.68"/>
    <n v="1.59"/>
    <n v="12.93"/>
    <n v="1.41"/>
    <n v="1.96"/>
    <n v="-22.41"/>
    <x v="0"/>
    <x v="1"/>
  </r>
  <r>
    <n v="530"/>
    <x v="167"/>
    <s v="C1028"/>
    <x v="5"/>
    <x v="0"/>
    <n v="2"/>
    <n v="250"/>
    <n v="500"/>
    <n v="110"/>
    <n v="220"/>
    <n v="280"/>
    <x v="1"/>
    <x v="2"/>
    <x v="0"/>
    <n v="11.88"/>
    <n v="32.880000000000003"/>
    <n v="17.87"/>
    <n v="5.14"/>
    <n v="4.05"/>
    <n v="2.98"/>
    <n v="6.46"/>
    <n v="1.77"/>
    <n v="196.97"/>
    <x v="1"/>
    <x v="1"/>
  </r>
  <r>
    <n v="531"/>
    <x v="168"/>
    <s v="C1300"/>
    <x v="7"/>
    <x v="2"/>
    <n v="1"/>
    <n v="150"/>
    <n v="150"/>
    <n v="70"/>
    <n v="70"/>
    <n v="80"/>
    <x v="0"/>
    <x v="4"/>
    <x v="4"/>
    <n v="24.41"/>
    <n v="44.52"/>
    <n v="17.170000000000002"/>
    <n v="9.7200000000000006"/>
    <n v="1.81"/>
    <n v="6.47"/>
    <n v="1.44"/>
    <n v="1.24"/>
    <n v="-26.78"/>
    <x v="0"/>
    <x v="0"/>
  </r>
  <r>
    <n v="532"/>
    <x v="94"/>
    <s v="C1105"/>
    <x v="7"/>
    <x v="2"/>
    <n v="2"/>
    <n v="150"/>
    <n v="300"/>
    <n v="70"/>
    <n v="140"/>
    <n v="160"/>
    <x v="4"/>
    <x v="3"/>
    <x v="2"/>
    <n v="28.92"/>
    <n v="20.88"/>
    <n v="16.920000000000002"/>
    <n v="32.200000000000003"/>
    <n v="1.35"/>
    <n v="13.27"/>
    <n v="6.98"/>
    <n v="2.8"/>
    <n v="36.68"/>
    <x v="1"/>
    <x v="1"/>
  </r>
  <r>
    <n v="533"/>
    <x v="113"/>
    <s v="C1009"/>
    <x v="2"/>
    <x v="1"/>
    <n v="2"/>
    <n v="80"/>
    <n v="160"/>
    <n v="30"/>
    <n v="60"/>
    <n v="100"/>
    <x v="3"/>
    <x v="4"/>
    <x v="5"/>
    <n v="27.69"/>
    <n v="39.76"/>
    <n v="5.66"/>
    <n v="13.73"/>
    <n v="3.4"/>
    <n v="6.16"/>
    <n v="1.66"/>
    <n v="2.71"/>
    <n v="-0.77"/>
    <x v="1"/>
    <x v="1"/>
  </r>
  <r>
    <n v="534"/>
    <x v="92"/>
    <s v="C1239"/>
    <x v="2"/>
    <x v="1"/>
    <n v="2"/>
    <n v="80"/>
    <n v="160"/>
    <n v="30"/>
    <n v="60"/>
    <n v="100"/>
    <x v="0"/>
    <x v="3"/>
    <x v="3"/>
    <n v="29.7"/>
    <n v="55.96"/>
    <n v="13.84"/>
    <n v="20.71"/>
    <n v="4.03"/>
    <n v="7.97"/>
    <n v="2.5099999999999998"/>
    <n v="2.33"/>
    <n v="-37.049999999999997"/>
    <x v="1"/>
    <x v="1"/>
  </r>
  <r>
    <n v="535"/>
    <x v="81"/>
    <s v="C1121"/>
    <x v="0"/>
    <x v="0"/>
    <n v="1"/>
    <n v="200"/>
    <n v="200"/>
    <n v="90"/>
    <n v="90"/>
    <n v="110"/>
    <x v="1"/>
    <x v="1"/>
    <x v="4"/>
    <n v="36.36"/>
    <n v="36.590000000000003"/>
    <n v="18.46"/>
    <n v="14.83"/>
    <n v="2.41"/>
    <n v="14.84"/>
    <n v="4.17"/>
    <n v="1.23"/>
    <n v="-18.89"/>
    <x v="2"/>
    <x v="0"/>
  </r>
  <r>
    <n v="536"/>
    <x v="51"/>
    <s v="C1185"/>
    <x v="6"/>
    <x v="0"/>
    <n v="3"/>
    <n v="180"/>
    <n v="540"/>
    <n v="75"/>
    <n v="225"/>
    <n v="315"/>
    <x v="3"/>
    <x v="0"/>
    <x v="5"/>
    <n v="27.03"/>
    <n v="40.22"/>
    <n v="19.670000000000002"/>
    <n v="12.81"/>
    <n v="1.0900000000000001"/>
    <n v="3.88"/>
    <n v="1.46"/>
    <n v="2"/>
    <n v="206.84"/>
    <x v="1"/>
    <x v="0"/>
  </r>
  <r>
    <n v="537"/>
    <x v="169"/>
    <s v="C1208"/>
    <x v="7"/>
    <x v="2"/>
    <n v="2"/>
    <n v="150"/>
    <n v="300"/>
    <n v="70"/>
    <n v="140"/>
    <n v="160"/>
    <x v="0"/>
    <x v="3"/>
    <x v="0"/>
    <n v="11.87"/>
    <n v="51.22"/>
    <n v="6.08"/>
    <n v="17.38"/>
    <n v="3.24"/>
    <n v="14.5"/>
    <n v="8"/>
    <n v="1.28"/>
    <n v="46.43"/>
    <x v="0"/>
    <x v="0"/>
  </r>
  <r>
    <n v="538"/>
    <x v="109"/>
    <s v="C1005"/>
    <x v="1"/>
    <x v="0"/>
    <n v="2"/>
    <n v="220"/>
    <n v="440"/>
    <n v="100"/>
    <n v="200"/>
    <n v="240"/>
    <x v="1"/>
    <x v="0"/>
    <x v="1"/>
    <n v="27.28"/>
    <n v="53.58"/>
    <n v="15.74"/>
    <n v="33.71"/>
    <n v="2.77"/>
    <n v="9.86"/>
    <n v="6.52"/>
    <n v="1.74"/>
    <n v="88.8"/>
    <x v="0"/>
    <x v="1"/>
  </r>
  <r>
    <n v="539"/>
    <x v="151"/>
    <s v="C1100"/>
    <x v="6"/>
    <x v="0"/>
    <n v="4"/>
    <n v="180"/>
    <n v="720"/>
    <n v="75"/>
    <n v="300"/>
    <n v="420"/>
    <x v="2"/>
    <x v="1"/>
    <x v="0"/>
    <n v="23.82"/>
    <n v="54.22"/>
    <n v="18.86"/>
    <n v="10.36"/>
    <n v="1.0900000000000001"/>
    <n v="3.68"/>
    <n v="2.64"/>
    <n v="1.31"/>
    <n v="304.02"/>
    <x v="2"/>
    <x v="1"/>
  </r>
  <r>
    <n v="540"/>
    <x v="4"/>
    <s v="C1003"/>
    <x v="6"/>
    <x v="0"/>
    <n v="2"/>
    <n v="180"/>
    <n v="360"/>
    <n v="75"/>
    <n v="150"/>
    <n v="210"/>
    <x v="3"/>
    <x v="4"/>
    <x v="3"/>
    <n v="31.3"/>
    <n v="51.8"/>
    <n v="13.22"/>
    <n v="17.16"/>
    <n v="3.25"/>
    <n v="11.73"/>
    <n v="4.1100000000000003"/>
    <n v="1.72"/>
    <n v="75.709999999999994"/>
    <x v="1"/>
    <x v="0"/>
  </r>
  <r>
    <n v="541"/>
    <x v="51"/>
    <s v="C1016"/>
    <x v="7"/>
    <x v="2"/>
    <n v="3"/>
    <n v="150"/>
    <n v="450"/>
    <n v="70"/>
    <n v="210"/>
    <n v="240"/>
    <x v="4"/>
    <x v="3"/>
    <x v="3"/>
    <n v="34.950000000000003"/>
    <n v="41.42"/>
    <n v="7.6"/>
    <n v="20.03"/>
    <n v="2.95"/>
    <n v="10.54"/>
    <n v="4.82"/>
    <n v="1.52"/>
    <n v="116.17"/>
    <x v="2"/>
    <x v="0"/>
  </r>
  <r>
    <n v="542"/>
    <x v="143"/>
    <s v="C1169"/>
    <x v="2"/>
    <x v="1"/>
    <n v="3"/>
    <n v="80"/>
    <n v="240"/>
    <n v="30"/>
    <n v="90"/>
    <n v="150"/>
    <x v="4"/>
    <x v="2"/>
    <x v="5"/>
    <n v="11"/>
    <n v="22.63"/>
    <n v="11.21"/>
    <n v="16.399999999999999"/>
    <n v="1.42"/>
    <n v="11.23"/>
    <n v="4.78"/>
    <n v="0.59"/>
    <n v="70.739999999999995"/>
    <x v="0"/>
    <x v="0"/>
  </r>
  <r>
    <n v="543"/>
    <x v="28"/>
    <s v="C1286"/>
    <x v="6"/>
    <x v="0"/>
    <n v="1"/>
    <n v="180"/>
    <n v="180"/>
    <n v="75"/>
    <n v="75"/>
    <n v="105"/>
    <x v="2"/>
    <x v="3"/>
    <x v="4"/>
    <n v="30.8"/>
    <n v="40.020000000000003"/>
    <n v="19.22"/>
    <n v="13.75"/>
    <n v="0.56999999999999995"/>
    <n v="12.87"/>
    <n v="7.92"/>
    <n v="0.94"/>
    <n v="-21.09"/>
    <x v="1"/>
    <x v="0"/>
  </r>
  <r>
    <n v="544"/>
    <x v="61"/>
    <s v="C1201"/>
    <x v="2"/>
    <x v="1"/>
    <n v="4"/>
    <n v="80"/>
    <n v="320"/>
    <n v="30"/>
    <n v="120"/>
    <n v="200"/>
    <x v="0"/>
    <x v="4"/>
    <x v="2"/>
    <n v="35.86"/>
    <n v="26.03"/>
    <n v="19.010000000000002"/>
    <n v="0.46"/>
    <n v="2.09"/>
    <n v="2.66"/>
    <n v="1.21"/>
    <n v="1.39"/>
    <n v="111.29"/>
    <x v="1"/>
    <x v="0"/>
  </r>
  <r>
    <n v="545"/>
    <x v="153"/>
    <s v="C1289"/>
    <x v="1"/>
    <x v="0"/>
    <n v="1"/>
    <n v="220"/>
    <n v="220"/>
    <n v="100"/>
    <n v="100"/>
    <n v="120"/>
    <x v="0"/>
    <x v="4"/>
    <x v="2"/>
    <n v="37.090000000000003"/>
    <n v="56.6"/>
    <n v="10.15"/>
    <n v="2.21"/>
    <n v="0.48"/>
    <n v="9.9700000000000006"/>
    <n v="2.91"/>
    <n v="0.81"/>
    <n v="-0.22"/>
    <x v="2"/>
    <x v="0"/>
  </r>
  <r>
    <n v="546"/>
    <x v="81"/>
    <s v="C1276"/>
    <x v="2"/>
    <x v="1"/>
    <n v="4"/>
    <n v="80"/>
    <n v="320"/>
    <n v="30"/>
    <n v="120"/>
    <n v="200"/>
    <x v="2"/>
    <x v="1"/>
    <x v="2"/>
    <n v="32.700000000000003"/>
    <n v="32.020000000000003"/>
    <n v="18.989999999999998"/>
    <n v="14.66"/>
    <n v="2.8"/>
    <n v="2.33"/>
    <n v="4.91"/>
    <n v="1.61"/>
    <n v="89.98"/>
    <x v="1"/>
    <x v="0"/>
  </r>
  <r>
    <n v="547"/>
    <x v="67"/>
    <s v="C1239"/>
    <x v="2"/>
    <x v="1"/>
    <n v="1"/>
    <n v="80"/>
    <n v="80"/>
    <n v="30"/>
    <n v="30"/>
    <n v="50"/>
    <x v="1"/>
    <x v="1"/>
    <x v="1"/>
    <n v="13.99"/>
    <n v="20.3"/>
    <n v="11.5"/>
    <n v="18.34"/>
    <n v="1.67"/>
    <n v="10.029999999999999"/>
    <n v="3.47"/>
    <n v="1.71"/>
    <n v="-31.01"/>
    <x v="1"/>
    <x v="1"/>
  </r>
  <r>
    <n v="548"/>
    <x v="48"/>
    <s v="C1144"/>
    <x v="0"/>
    <x v="0"/>
    <n v="2"/>
    <n v="200"/>
    <n v="400"/>
    <n v="90"/>
    <n v="180"/>
    <n v="220"/>
    <x v="3"/>
    <x v="2"/>
    <x v="2"/>
    <n v="10.199999999999999"/>
    <n v="31.5"/>
    <n v="10.74"/>
    <n v="12.07"/>
    <n v="0.26"/>
    <n v="13.32"/>
    <n v="1.78"/>
    <n v="2.2799999999999998"/>
    <n v="137.85"/>
    <x v="2"/>
    <x v="1"/>
  </r>
  <r>
    <n v="549"/>
    <x v="7"/>
    <s v="C1153"/>
    <x v="4"/>
    <x v="0"/>
    <n v="2"/>
    <n v="120"/>
    <n v="240"/>
    <n v="50"/>
    <n v="100"/>
    <n v="140"/>
    <x v="3"/>
    <x v="1"/>
    <x v="0"/>
    <n v="11.12"/>
    <n v="23.12"/>
    <n v="6.45"/>
    <n v="16.09"/>
    <n v="1.82"/>
    <n v="10.95"/>
    <n v="1.61"/>
    <n v="1.95"/>
    <n v="66.89"/>
    <x v="0"/>
    <x v="1"/>
  </r>
  <r>
    <n v="550"/>
    <x v="155"/>
    <s v="C1119"/>
    <x v="1"/>
    <x v="0"/>
    <n v="1"/>
    <n v="220"/>
    <n v="220"/>
    <n v="100"/>
    <n v="100"/>
    <n v="120"/>
    <x v="4"/>
    <x v="3"/>
    <x v="5"/>
    <n v="12.36"/>
    <n v="33.43"/>
    <n v="18.989999999999998"/>
    <n v="2.3199999999999998"/>
    <n v="0.04"/>
    <n v="3.28"/>
    <n v="6.43"/>
    <n v="2.4700000000000002"/>
    <n v="40.68"/>
    <x v="2"/>
    <x v="1"/>
  </r>
  <r>
    <n v="551"/>
    <x v="40"/>
    <s v="C1047"/>
    <x v="6"/>
    <x v="0"/>
    <n v="3"/>
    <n v="180"/>
    <n v="540"/>
    <n v="75"/>
    <n v="225"/>
    <n v="315"/>
    <x v="3"/>
    <x v="4"/>
    <x v="1"/>
    <n v="31.67"/>
    <n v="22.19"/>
    <n v="7.67"/>
    <n v="20.18"/>
    <n v="4.71"/>
    <n v="10.46"/>
    <n v="6.34"/>
    <n v="0.67"/>
    <n v="211.11"/>
    <x v="0"/>
    <x v="1"/>
  </r>
  <r>
    <n v="552"/>
    <x v="120"/>
    <s v="C1165"/>
    <x v="4"/>
    <x v="0"/>
    <n v="2"/>
    <n v="120"/>
    <n v="240"/>
    <n v="50"/>
    <n v="100"/>
    <n v="140"/>
    <x v="4"/>
    <x v="2"/>
    <x v="0"/>
    <n v="39.01"/>
    <n v="37.299999999999997"/>
    <n v="5.92"/>
    <n v="23.11"/>
    <n v="1.07"/>
    <n v="12.01"/>
    <n v="7.32"/>
    <n v="2.82"/>
    <n v="11.44"/>
    <x v="0"/>
    <x v="1"/>
  </r>
  <r>
    <n v="553"/>
    <x v="169"/>
    <s v="C1090"/>
    <x v="4"/>
    <x v="0"/>
    <n v="1"/>
    <n v="120"/>
    <n v="120"/>
    <n v="50"/>
    <n v="50"/>
    <n v="70"/>
    <x v="1"/>
    <x v="3"/>
    <x v="1"/>
    <n v="39.5"/>
    <n v="24.24"/>
    <n v="9.3800000000000008"/>
    <n v="0.05"/>
    <n v="3.71"/>
    <n v="6.3"/>
    <n v="4.4800000000000004"/>
    <n v="1.41"/>
    <n v="-19.07"/>
    <x v="0"/>
    <x v="0"/>
  </r>
  <r>
    <n v="554"/>
    <x v="30"/>
    <s v="C1034"/>
    <x v="6"/>
    <x v="0"/>
    <n v="2"/>
    <n v="180"/>
    <n v="360"/>
    <n v="75"/>
    <n v="150"/>
    <n v="210"/>
    <x v="3"/>
    <x v="2"/>
    <x v="1"/>
    <n v="32.79"/>
    <n v="35.71"/>
    <n v="12.78"/>
    <n v="1.32"/>
    <n v="1.4"/>
    <n v="2.69"/>
    <n v="5.83"/>
    <n v="1.99"/>
    <n v="115.49"/>
    <x v="1"/>
    <x v="1"/>
  </r>
  <r>
    <n v="555"/>
    <x v="57"/>
    <s v="C1268"/>
    <x v="4"/>
    <x v="0"/>
    <n v="1"/>
    <n v="120"/>
    <n v="120"/>
    <n v="50"/>
    <n v="50"/>
    <n v="70"/>
    <x v="1"/>
    <x v="3"/>
    <x v="5"/>
    <n v="14.85"/>
    <n v="54.06"/>
    <n v="14.95"/>
    <n v="20.66"/>
    <n v="2.2000000000000002"/>
    <n v="2.75"/>
    <n v="4.66"/>
    <n v="0.06"/>
    <n v="-44.19"/>
    <x v="0"/>
    <x v="0"/>
  </r>
  <r>
    <n v="556"/>
    <x v="65"/>
    <s v="C1315"/>
    <x v="5"/>
    <x v="0"/>
    <n v="3"/>
    <n v="250"/>
    <n v="750"/>
    <n v="110"/>
    <n v="330"/>
    <n v="420"/>
    <x v="3"/>
    <x v="2"/>
    <x v="3"/>
    <n v="11.23"/>
    <n v="20.28"/>
    <n v="19.690000000000001"/>
    <n v="2.62"/>
    <n v="4.54"/>
    <n v="7.81"/>
    <n v="7.68"/>
    <n v="2.23"/>
    <n v="343.92"/>
    <x v="0"/>
    <x v="0"/>
  </r>
  <r>
    <n v="557"/>
    <x v="143"/>
    <s v="C1239"/>
    <x v="0"/>
    <x v="0"/>
    <n v="4"/>
    <n v="200"/>
    <n v="800"/>
    <n v="90"/>
    <n v="360"/>
    <n v="440"/>
    <x v="4"/>
    <x v="3"/>
    <x v="2"/>
    <n v="34.11"/>
    <n v="21.22"/>
    <n v="15.67"/>
    <n v="15.08"/>
    <n v="1.56"/>
    <n v="6.99"/>
    <n v="1.04"/>
    <n v="2.2200000000000002"/>
    <n v="342.11"/>
    <x v="1"/>
    <x v="1"/>
  </r>
  <r>
    <n v="558"/>
    <x v="28"/>
    <s v="C1106"/>
    <x v="1"/>
    <x v="0"/>
    <n v="2"/>
    <n v="220"/>
    <n v="440"/>
    <n v="100"/>
    <n v="200"/>
    <n v="240"/>
    <x v="0"/>
    <x v="1"/>
    <x v="5"/>
    <n v="17.63"/>
    <n v="22.27"/>
    <n v="13.54"/>
    <n v="32.68"/>
    <n v="5"/>
    <n v="11.67"/>
    <n v="5.94"/>
    <n v="1.74"/>
    <n v="129.53"/>
    <x v="0"/>
    <x v="0"/>
  </r>
  <r>
    <n v="559"/>
    <x v="0"/>
    <s v="C1246"/>
    <x v="0"/>
    <x v="0"/>
    <n v="4"/>
    <n v="200"/>
    <n v="800"/>
    <n v="90"/>
    <n v="360"/>
    <n v="440"/>
    <x v="4"/>
    <x v="4"/>
    <x v="0"/>
    <n v="18.399999999999999"/>
    <n v="15.69"/>
    <n v="7.43"/>
    <n v="33.78"/>
    <n v="2.56"/>
    <n v="6.14"/>
    <n v="2.9"/>
    <n v="1.33"/>
    <n v="351.77"/>
    <x v="0"/>
    <x v="1"/>
  </r>
  <r>
    <n v="560"/>
    <x v="106"/>
    <s v="C1142"/>
    <x v="1"/>
    <x v="0"/>
    <n v="2"/>
    <n v="220"/>
    <n v="440"/>
    <n v="100"/>
    <n v="200"/>
    <n v="240"/>
    <x v="0"/>
    <x v="2"/>
    <x v="3"/>
    <n v="23.59"/>
    <n v="18.059999999999999"/>
    <n v="14.8"/>
    <n v="4.33"/>
    <n v="0.72"/>
    <n v="7.67"/>
    <n v="6.64"/>
    <n v="0.17"/>
    <n v="164.02"/>
    <x v="1"/>
    <x v="0"/>
  </r>
  <r>
    <n v="561"/>
    <x v="20"/>
    <s v="C1310"/>
    <x v="2"/>
    <x v="1"/>
    <n v="3"/>
    <n v="80"/>
    <n v="240"/>
    <n v="30"/>
    <n v="90"/>
    <n v="150"/>
    <x v="4"/>
    <x v="2"/>
    <x v="1"/>
    <n v="16.07"/>
    <n v="25.42"/>
    <n v="19.489999999999998"/>
    <n v="4.18"/>
    <n v="4.16"/>
    <n v="11.26"/>
    <n v="2.04"/>
    <n v="0.18"/>
    <n v="67.2"/>
    <x v="0"/>
    <x v="0"/>
  </r>
  <r>
    <n v="562"/>
    <x v="128"/>
    <s v="C1156"/>
    <x v="5"/>
    <x v="0"/>
    <n v="4"/>
    <n v="250"/>
    <n v="1000"/>
    <n v="110"/>
    <n v="440"/>
    <n v="560"/>
    <x v="3"/>
    <x v="1"/>
    <x v="2"/>
    <n v="16.809999999999999"/>
    <n v="28.03"/>
    <n v="13.86"/>
    <n v="0.34"/>
    <n v="0.81"/>
    <n v="10.6"/>
    <n v="2.56"/>
    <n v="1.66"/>
    <n v="485.33"/>
    <x v="1"/>
    <x v="0"/>
  </r>
  <r>
    <n v="563"/>
    <x v="169"/>
    <s v="C1337"/>
    <x v="2"/>
    <x v="1"/>
    <n v="1"/>
    <n v="80"/>
    <n v="80"/>
    <n v="30"/>
    <n v="30"/>
    <n v="50"/>
    <x v="4"/>
    <x v="1"/>
    <x v="2"/>
    <n v="31.28"/>
    <n v="26.29"/>
    <n v="13.71"/>
    <n v="27.78"/>
    <n v="1.62"/>
    <n v="14.81"/>
    <n v="6.55"/>
    <n v="0.85"/>
    <n v="-72.89"/>
    <x v="0"/>
    <x v="0"/>
  </r>
  <r>
    <n v="564"/>
    <x v="88"/>
    <s v="C1132"/>
    <x v="0"/>
    <x v="0"/>
    <n v="3"/>
    <n v="200"/>
    <n v="600"/>
    <n v="90"/>
    <n v="270"/>
    <n v="330"/>
    <x v="3"/>
    <x v="2"/>
    <x v="5"/>
    <n v="26.53"/>
    <n v="46.27"/>
    <n v="16.12"/>
    <n v="8.73"/>
    <n v="0.22"/>
    <n v="14.27"/>
    <n v="5.71"/>
    <n v="2.16"/>
    <n v="209.99"/>
    <x v="0"/>
    <x v="1"/>
  </r>
  <r>
    <n v="565"/>
    <x v="77"/>
    <s v="C1036"/>
    <x v="0"/>
    <x v="0"/>
    <n v="1"/>
    <n v="200"/>
    <n v="200"/>
    <n v="90"/>
    <n v="90"/>
    <n v="110"/>
    <x v="3"/>
    <x v="1"/>
    <x v="2"/>
    <n v="31.24"/>
    <n v="28.07"/>
    <n v="11.2"/>
    <n v="25.39"/>
    <n v="4.25"/>
    <n v="6.69"/>
    <n v="2.81"/>
    <n v="1.1399999999999999"/>
    <n v="-0.79"/>
    <x v="2"/>
    <x v="1"/>
  </r>
  <r>
    <n v="566"/>
    <x v="170"/>
    <s v="C1028"/>
    <x v="6"/>
    <x v="0"/>
    <n v="3"/>
    <n v="180"/>
    <n v="540"/>
    <n v="75"/>
    <n v="225"/>
    <n v="315"/>
    <x v="0"/>
    <x v="2"/>
    <x v="5"/>
    <n v="11.96"/>
    <n v="52.59"/>
    <n v="10.11"/>
    <n v="16.57"/>
    <n v="3.13"/>
    <n v="4.82"/>
    <n v="7.06"/>
    <n v="0.28000000000000003"/>
    <n v="208.48"/>
    <x v="1"/>
    <x v="0"/>
  </r>
  <r>
    <n v="567"/>
    <x v="90"/>
    <s v="C1296"/>
    <x v="4"/>
    <x v="0"/>
    <n v="1"/>
    <n v="120"/>
    <n v="120"/>
    <n v="50"/>
    <n v="50"/>
    <n v="70"/>
    <x v="0"/>
    <x v="0"/>
    <x v="3"/>
    <n v="17.86"/>
    <n v="57.4"/>
    <n v="15.9"/>
    <n v="12.56"/>
    <n v="2.2400000000000002"/>
    <n v="3.38"/>
    <n v="2.62"/>
    <n v="1.62"/>
    <n v="-43.58"/>
    <x v="1"/>
    <x v="0"/>
  </r>
  <r>
    <n v="568"/>
    <x v="54"/>
    <s v="C1039"/>
    <x v="3"/>
    <x v="2"/>
    <n v="3"/>
    <n v="180"/>
    <n v="540"/>
    <n v="90"/>
    <n v="270"/>
    <n v="270"/>
    <x v="0"/>
    <x v="4"/>
    <x v="2"/>
    <n v="14.06"/>
    <n v="34.119999999999997"/>
    <n v="19.97"/>
    <n v="27.03"/>
    <n v="0.08"/>
    <n v="10.42"/>
    <n v="6.36"/>
    <n v="0.12"/>
    <n v="157.84"/>
    <x v="1"/>
    <x v="1"/>
  </r>
  <r>
    <n v="569"/>
    <x v="129"/>
    <s v="C1135"/>
    <x v="4"/>
    <x v="0"/>
    <n v="2"/>
    <n v="120"/>
    <n v="240"/>
    <n v="50"/>
    <n v="100"/>
    <n v="140"/>
    <x v="2"/>
    <x v="1"/>
    <x v="5"/>
    <n v="39.380000000000003"/>
    <n v="38.380000000000003"/>
    <n v="10.16"/>
    <n v="1.58"/>
    <n v="3.16"/>
    <n v="6.27"/>
    <n v="3.63"/>
    <n v="0.27"/>
    <n v="37.17"/>
    <x v="1"/>
    <x v="0"/>
  </r>
  <r>
    <n v="570"/>
    <x v="91"/>
    <s v="C1064"/>
    <x v="3"/>
    <x v="2"/>
    <n v="2"/>
    <n v="180"/>
    <n v="360"/>
    <n v="90"/>
    <n v="180"/>
    <n v="180"/>
    <x v="4"/>
    <x v="2"/>
    <x v="4"/>
    <n v="39.68"/>
    <n v="55.59"/>
    <n v="16.440000000000001"/>
    <n v="18.09"/>
    <n v="4.6500000000000004"/>
    <n v="8.39"/>
    <n v="3.62"/>
    <n v="2.8"/>
    <n v="30.74"/>
    <x v="1"/>
    <x v="0"/>
  </r>
  <r>
    <n v="571"/>
    <x v="170"/>
    <s v="C1316"/>
    <x v="3"/>
    <x v="2"/>
    <n v="1"/>
    <n v="180"/>
    <n v="180"/>
    <n v="90"/>
    <n v="90"/>
    <n v="90"/>
    <x v="1"/>
    <x v="3"/>
    <x v="5"/>
    <n v="32.11"/>
    <n v="40.72"/>
    <n v="14.24"/>
    <n v="17.14"/>
    <n v="4.78"/>
    <n v="7.6"/>
    <n v="7.62"/>
    <n v="0.96"/>
    <n v="-35.17"/>
    <x v="1"/>
    <x v="1"/>
  </r>
  <r>
    <n v="572"/>
    <x v="139"/>
    <s v="C1287"/>
    <x v="0"/>
    <x v="0"/>
    <n v="2"/>
    <n v="200"/>
    <n v="400"/>
    <n v="90"/>
    <n v="180"/>
    <n v="220"/>
    <x v="0"/>
    <x v="2"/>
    <x v="1"/>
    <n v="13.42"/>
    <n v="29.43"/>
    <n v="18.79"/>
    <n v="18.3"/>
    <n v="1.64"/>
    <n v="3.97"/>
    <n v="4.7"/>
    <n v="0.28000000000000003"/>
    <n v="129.47"/>
    <x v="1"/>
    <x v="1"/>
  </r>
  <r>
    <n v="573"/>
    <x v="73"/>
    <s v="C1212"/>
    <x v="6"/>
    <x v="0"/>
    <n v="1"/>
    <n v="180"/>
    <n v="180"/>
    <n v="75"/>
    <n v="75"/>
    <n v="105"/>
    <x v="2"/>
    <x v="1"/>
    <x v="0"/>
    <n v="20.56"/>
    <n v="44.39"/>
    <n v="14.26"/>
    <n v="10.92"/>
    <n v="1.54"/>
    <n v="2.57"/>
    <n v="4.3499999999999996"/>
    <n v="1.52"/>
    <n v="4.8899999999999997"/>
    <x v="1"/>
    <x v="1"/>
  </r>
  <r>
    <n v="574"/>
    <x v="14"/>
    <s v="C1059"/>
    <x v="3"/>
    <x v="2"/>
    <n v="4"/>
    <n v="180"/>
    <n v="720"/>
    <n v="90"/>
    <n v="360"/>
    <n v="360"/>
    <x v="2"/>
    <x v="2"/>
    <x v="2"/>
    <n v="38.659999999999997"/>
    <n v="55.24"/>
    <n v="11.19"/>
    <n v="2.61"/>
    <n v="0.08"/>
    <n v="7.25"/>
    <n v="3.76"/>
    <n v="1.91"/>
    <n v="239.3"/>
    <x v="1"/>
    <x v="1"/>
  </r>
  <r>
    <n v="575"/>
    <x v="149"/>
    <s v="C1175"/>
    <x v="4"/>
    <x v="0"/>
    <n v="2"/>
    <n v="120"/>
    <n v="240"/>
    <n v="50"/>
    <n v="100"/>
    <n v="140"/>
    <x v="1"/>
    <x v="0"/>
    <x v="2"/>
    <n v="24.78"/>
    <n v="30.65"/>
    <n v="14.49"/>
    <n v="1"/>
    <n v="1.36"/>
    <n v="14.93"/>
    <n v="1.35"/>
    <n v="2.79"/>
    <n v="48.65"/>
    <x v="1"/>
    <x v="1"/>
  </r>
  <r>
    <n v="576"/>
    <x v="85"/>
    <s v="C1311"/>
    <x v="2"/>
    <x v="1"/>
    <n v="3"/>
    <n v="80"/>
    <n v="240"/>
    <n v="30"/>
    <n v="90"/>
    <n v="150"/>
    <x v="2"/>
    <x v="0"/>
    <x v="5"/>
    <n v="27.2"/>
    <n v="44.29"/>
    <n v="15.56"/>
    <n v="12.77"/>
    <n v="3.81"/>
    <n v="13.86"/>
    <n v="1.83"/>
    <n v="0.19"/>
    <n v="30.49"/>
    <x v="0"/>
    <x v="0"/>
  </r>
  <r>
    <n v="577"/>
    <x v="161"/>
    <s v="C1217"/>
    <x v="5"/>
    <x v="0"/>
    <n v="3"/>
    <n v="250"/>
    <n v="750"/>
    <n v="110"/>
    <n v="330"/>
    <n v="420"/>
    <x v="2"/>
    <x v="4"/>
    <x v="0"/>
    <n v="11.79"/>
    <n v="16.27"/>
    <n v="7.39"/>
    <n v="25.33"/>
    <n v="0.02"/>
    <n v="3.61"/>
    <n v="6.52"/>
    <n v="2.4"/>
    <n v="346.67"/>
    <x v="1"/>
    <x v="1"/>
  </r>
  <r>
    <n v="578"/>
    <x v="163"/>
    <s v="C1041"/>
    <x v="2"/>
    <x v="1"/>
    <n v="1"/>
    <n v="80"/>
    <n v="80"/>
    <n v="30"/>
    <n v="30"/>
    <n v="50"/>
    <x v="2"/>
    <x v="4"/>
    <x v="5"/>
    <n v="31.05"/>
    <n v="27.26"/>
    <n v="7.04"/>
    <n v="33.700000000000003"/>
    <n v="2.54"/>
    <n v="6.72"/>
    <n v="5.81"/>
    <n v="2.0699999999999998"/>
    <n v="-66.19"/>
    <x v="1"/>
    <x v="1"/>
  </r>
  <r>
    <n v="579"/>
    <x v="95"/>
    <s v="C1292"/>
    <x v="2"/>
    <x v="1"/>
    <n v="2"/>
    <n v="80"/>
    <n v="160"/>
    <n v="30"/>
    <n v="60"/>
    <n v="100"/>
    <x v="1"/>
    <x v="4"/>
    <x v="4"/>
    <n v="18.52"/>
    <n v="56.68"/>
    <n v="14.75"/>
    <n v="2.59"/>
    <n v="2.89"/>
    <n v="7.82"/>
    <n v="1.75"/>
    <n v="0.96"/>
    <n v="-5.96"/>
    <x v="1"/>
    <x v="1"/>
  </r>
  <r>
    <n v="580"/>
    <x v="140"/>
    <s v="C1059"/>
    <x v="7"/>
    <x v="2"/>
    <n v="2"/>
    <n v="150"/>
    <n v="300"/>
    <n v="70"/>
    <n v="140"/>
    <n v="160"/>
    <x v="0"/>
    <x v="0"/>
    <x v="1"/>
    <n v="28.04"/>
    <n v="42.03"/>
    <n v="7.8"/>
    <n v="29.67"/>
    <n v="2.5"/>
    <n v="11.4"/>
    <n v="7.82"/>
    <n v="2.76"/>
    <n v="27.98"/>
    <x v="2"/>
    <x v="0"/>
  </r>
  <r>
    <n v="581"/>
    <x v="48"/>
    <s v="C1047"/>
    <x v="0"/>
    <x v="0"/>
    <n v="3"/>
    <n v="200"/>
    <n v="600"/>
    <n v="90"/>
    <n v="270"/>
    <n v="330"/>
    <x v="2"/>
    <x v="4"/>
    <x v="3"/>
    <n v="25.57"/>
    <n v="39.200000000000003"/>
    <n v="13.36"/>
    <n v="1.52"/>
    <n v="3.28"/>
    <n v="12.41"/>
    <n v="4.95"/>
    <n v="1.58"/>
    <n v="228.13"/>
    <x v="0"/>
    <x v="1"/>
  </r>
  <r>
    <n v="582"/>
    <x v="79"/>
    <s v="C1214"/>
    <x v="7"/>
    <x v="2"/>
    <n v="3"/>
    <n v="150"/>
    <n v="450"/>
    <n v="70"/>
    <n v="210"/>
    <n v="240"/>
    <x v="0"/>
    <x v="1"/>
    <x v="4"/>
    <n v="26.64"/>
    <n v="23.09"/>
    <n v="15.89"/>
    <n v="23.7"/>
    <n v="1.49"/>
    <n v="13.57"/>
    <n v="2.14"/>
    <n v="2.5099999999999998"/>
    <n v="130.97"/>
    <x v="1"/>
    <x v="0"/>
  </r>
  <r>
    <n v="583"/>
    <x v="4"/>
    <s v="C1308"/>
    <x v="3"/>
    <x v="2"/>
    <n v="1"/>
    <n v="180"/>
    <n v="180"/>
    <n v="90"/>
    <n v="90"/>
    <n v="90"/>
    <x v="3"/>
    <x v="0"/>
    <x v="0"/>
    <n v="33.340000000000003"/>
    <n v="23.23"/>
    <n v="19.809999999999999"/>
    <n v="27.5"/>
    <n v="4.87"/>
    <n v="5.71"/>
    <n v="2.2400000000000002"/>
    <n v="1.32"/>
    <n v="-28.02"/>
    <x v="2"/>
    <x v="1"/>
  </r>
  <r>
    <n v="584"/>
    <x v="116"/>
    <s v="C1274"/>
    <x v="7"/>
    <x v="2"/>
    <n v="2"/>
    <n v="150"/>
    <n v="300"/>
    <n v="70"/>
    <n v="140"/>
    <n v="160"/>
    <x v="1"/>
    <x v="2"/>
    <x v="0"/>
    <n v="35.83"/>
    <n v="59.75"/>
    <n v="6.9"/>
    <n v="19.309999999999999"/>
    <n v="3.99"/>
    <n v="12.46"/>
    <n v="1.28"/>
    <n v="1.42"/>
    <n v="19.059999999999999"/>
    <x v="1"/>
    <x v="1"/>
  </r>
  <r>
    <n v="585"/>
    <x v="129"/>
    <s v="C1103"/>
    <x v="6"/>
    <x v="0"/>
    <n v="1"/>
    <n v="180"/>
    <n v="180"/>
    <n v="75"/>
    <n v="75"/>
    <n v="105"/>
    <x v="2"/>
    <x v="2"/>
    <x v="2"/>
    <n v="37.659999999999997"/>
    <n v="53.04"/>
    <n v="16.04"/>
    <n v="22.88"/>
    <n v="1.25"/>
    <n v="12.3"/>
    <n v="6.28"/>
    <n v="1.95"/>
    <n v="-46.4"/>
    <x v="1"/>
    <x v="0"/>
  </r>
  <r>
    <n v="586"/>
    <x v="69"/>
    <s v="C1003"/>
    <x v="2"/>
    <x v="1"/>
    <n v="2"/>
    <n v="80"/>
    <n v="160"/>
    <n v="30"/>
    <n v="60"/>
    <n v="100"/>
    <x v="4"/>
    <x v="2"/>
    <x v="5"/>
    <n v="33.56"/>
    <n v="31.58"/>
    <n v="15.25"/>
    <n v="5.83"/>
    <n v="1.64"/>
    <n v="2.25"/>
    <n v="3.56"/>
    <n v="1.67"/>
    <n v="4.66"/>
    <x v="1"/>
    <x v="0"/>
  </r>
  <r>
    <n v="587"/>
    <x v="38"/>
    <s v="C1167"/>
    <x v="0"/>
    <x v="0"/>
    <n v="2"/>
    <n v="200"/>
    <n v="400"/>
    <n v="90"/>
    <n v="180"/>
    <n v="220"/>
    <x v="4"/>
    <x v="1"/>
    <x v="4"/>
    <n v="36.43"/>
    <n v="29.59"/>
    <n v="10.85"/>
    <n v="13.86"/>
    <n v="1.56"/>
    <n v="5.61"/>
    <n v="5.61"/>
    <n v="0.88"/>
    <n v="115.61"/>
    <x v="1"/>
    <x v="0"/>
  </r>
  <r>
    <n v="588"/>
    <x v="171"/>
    <s v="C1178"/>
    <x v="4"/>
    <x v="0"/>
    <n v="4"/>
    <n v="120"/>
    <n v="480"/>
    <n v="50"/>
    <n v="200"/>
    <n v="280"/>
    <x v="3"/>
    <x v="2"/>
    <x v="5"/>
    <n v="36.53"/>
    <n v="39.79"/>
    <n v="19.760000000000002"/>
    <n v="9.4499999999999993"/>
    <n v="4.4800000000000004"/>
    <n v="9.32"/>
    <n v="5.83"/>
    <n v="2.33"/>
    <n v="152.51"/>
    <x v="2"/>
    <x v="0"/>
  </r>
  <r>
    <n v="589"/>
    <x v="103"/>
    <s v="C1330"/>
    <x v="3"/>
    <x v="2"/>
    <n v="1"/>
    <n v="180"/>
    <n v="180"/>
    <n v="90"/>
    <n v="90"/>
    <n v="90"/>
    <x v="4"/>
    <x v="0"/>
    <x v="4"/>
    <n v="30.53"/>
    <n v="56.41"/>
    <n v="14.98"/>
    <n v="17.989999999999998"/>
    <n v="3.27"/>
    <n v="9.83"/>
    <n v="5.66"/>
    <n v="0.2"/>
    <n v="-48.87"/>
    <x v="0"/>
    <x v="1"/>
  </r>
  <r>
    <n v="590"/>
    <x v="98"/>
    <s v="C1110"/>
    <x v="3"/>
    <x v="2"/>
    <n v="2"/>
    <n v="180"/>
    <n v="360"/>
    <n v="90"/>
    <n v="180"/>
    <n v="180"/>
    <x v="2"/>
    <x v="2"/>
    <x v="5"/>
    <n v="33.54"/>
    <n v="41.56"/>
    <n v="5.7"/>
    <n v="5.07"/>
    <n v="2.5499999999999998"/>
    <n v="11.04"/>
    <n v="4.9000000000000004"/>
    <n v="0.65"/>
    <n v="74.989999999999995"/>
    <x v="1"/>
    <x v="0"/>
  </r>
  <r>
    <n v="591"/>
    <x v="114"/>
    <s v="C1274"/>
    <x v="5"/>
    <x v="0"/>
    <n v="3"/>
    <n v="250"/>
    <n v="750"/>
    <n v="110"/>
    <n v="330"/>
    <n v="420"/>
    <x v="4"/>
    <x v="0"/>
    <x v="5"/>
    <n v="36.46"/>
    <n v="20.45"/>
    <n v="18.68"/>
    <n v="28.38"/>
    <n v="2.17"/>
    <n v="11.35"/>
    <n v="7.54"/>
    <n v="0.79"/>
    <n v="294.18"/>
    <x v="2"/>
    <x v="1"/>
  </r>
  <r>
    <n v="592"/>
    <x v="130"/>
    <s v="C1101"/>
    <x v="4"/>
    <x v="0"/>
    <n v="4"/>
    <n v="120"/>
    <n v="480"/>
    <n v="50"/>
    <n v="200"/>
    <n v="280"/>
    <x v="3"/>
    <x v="0"/>
    <x v="1"/>
    <n v="23.49"/>
    <n v="50.8"/>
    <n v="16.34"/>
    <n v="12.57"/>
    <n v="2.2000000000000002"/>
    <n v="13.7"/>
    <n v="5.76"/>
    <n v="1.17"/>
    <n v="153.97"/>
    <x v="2"/>
    <x v="1"/>
  </r>
  <r>
    <n v="593"/>
    <x v="172"/>
    <s v="C1243"/>
    <x v="4"/>
    <x v="0"/>
    <n v="3"/>
    <n v="120"/>
    <n v="360"/>
    <n v="50"/>
    <n v="150"/>
    <n v="210"/>
    <x v="0"/>
    <x v="2"/>
    <x v="1"/>
    <n v="37.909999999999997"/>
    <n v="18.260000000000002"/>
    <n v="8.36"/>
    <n v="8.99"/>
    <n v="2.0099999999999998"/>
    <n v="7.54"/>
    <n v="5"/>
    <n v="0.16"/>
    <n v="121.77"/>
    <x v="2"/>
    <x v="1"/>
  </r>
  <r>
    <n v="594"/>
    <x v="24"/>
    <s v="C1192"/>
    <x v="0"/>
    <x v="0"/>
    <n v="3"/>
    <n v="200"/>
    <n v="600"/>
    <n v="90"/>
    <n v="270"/>
    <n v="330"/>
    <x v="3"/>
    <x v="0"/>
    <x v="5"/>
    <n v="21.98"/>
    <n v="26.28"/>
    <n v="11.43"/>
    <n v="10.27"/>
    <n v="0.63"/>
    <n v="6.42"/>
    <n v="3.45"/>
    <n v="2.92"/>
    <n v="246.62"/>
    <x v="0"/>
    <x v="1"/>
  </r>
  <r>
    <n v="595"/>
    <x v="145"/>
    <s v="C1325"/>
    <x v="5"/>
    <x v="0"/>
    <n v="3"/>
    <n v="250"/>
    <n v="750"/>
    <n v="110"/>
    <n v="330"/>
    <n v="420"/>
    <x v="0"/>
    <x v="4"/>
    <x v="4"/>
    <n v="10.87"/>
    <n v="18.440000000000001"/>
    <n v="13.23"/>
    <n v="19.260000000000002"/>
    <n v="1.84"/>
    <n v="12.38"/>
    <n v="1.87"/>
    <n v="1.61"/>
    <n v="340.5"/>
    <x v="2"/>
    <x v="0"/>
  </r>
  <r>
    <n v="596"/>
    <x v="134"/>
    <s v="C1058"/>
    <x v="1"/>
    <x v="0"/>
    <n v="1"/>
    <n v="220"/>
    <n v="220"/>
    <n v="100"/>
    <n v="100"/>
    <n v="120"/>
    <x v="3"/>
    <x v="4"/>
    <x v="2"/>
    <n v="30.82"/>
    <n v="42.78"/>
    <n v="7.89"/>
    <n v="7.04"/>
    <n v="2.59"/>
    <n v="7.63"/>
    <n v="7.46"/>
    <n v="1.41"/>
    <n v="12.38"/>
    <x v="2"/>
    <x v="1"/>
  </r>
  <r>
    <n v="597"/>
    <x v="1"/>
    <s v="C1314"/>
    <x v="0"/>
    <x v="0"/>
    <n v="4"/>
    <n v="200"/>
    <n v="800"/>
    <n v="90"/>
    <n v="360"/>
    <n v="440"/>
    <x v="2"/>
    <x v="0"/>
    <x v="5"/>
    <n v="25.88"/>
    <n v="19.760000000000002"/>
    <n v="15.97"/>
    <n v="5.28"/>
    <n v="3.79"/>
    <n v="14.48"/>
    <n v="7.52"/>
    <n v="1.54"/>
    <n v="345.78"/>
    <x v="1"/>
    <x v="0"/>
  </r>
  <r>
    <n v="598"/>
    <x v="111"/>
    <s v="C1298"/>
    <x v="2"/>
    <x v="1"/>
    <n v="3"/>
    <n v="80"/>
    <n v="240"/>
    <n v="30"/>
    <n v="90"/>
    <n v="150"/>
    <x v="4"/>
    <x v="3"/>
    <x v="0"/>
    <n v="32.08"/>
    <n v="49.41"/>
    <n v="13.11"/>
    <n v="20.25"/>
    <n v="4.5199999999999996"/>
    <n v="7.41"/>
    <n v="5.22"/>
    <n v="1.7"/>
    <n v="16.3"/>
    <x v="0"/>
    <x v="0"/>
  </r>
  <r>
    <n v="599"/>
    <x v="102"/>
    <s v="C1321"/>
    <x v="0"/>
    <x v="0"/>
    <n v="4"/>
    <n v="200"/>
    <n v="800"/>
    <n v="90"/>
    <n v="360"/>
    <n v="440"/>
    <x v="0"/>
    <x v="1"/>
    <x v="1"/>
    <n v="39.15"/>
    <n v="35.75"/>
    <n v="12.15"/>
    <n v="13.36"/>
    <n v="2.68"/>
    <n v="5.58"/>
    <n v="7.69"/>
    <n v="1.76"/>
    <n v="321.88"/>
    <x v="0"/>
    <x v="1"/>
  </r>
  <r>
    <n v="600"/>
    <x v="102"/>
    <s v="C1023"/>
    <x v="1"/>
    <x v="0"/>
    <n v="3"/>
    <n v="220"/>
    <n v="660"/>
    <n v="100"/>
    <n v="300"/>
    <n v="360"/>
    <x v="2"/>
    <x v="4"/>
    <x v="0"/>
    <n v="34.42"/>
    <n v="57.63"/>
    <n v="8.5500000000000007"/>
    <n v="9.68"/>
    <n v="0.9"/>
    <n v="3.92"/>
    <n v="3.09"/>
    <n v="2.96"/>
    <n v="238.85"/>
    <x v="1"/>
    <x v="0"/>
  </r>
  <r>
    <n v="601"/>
    <x v="100"/>
    <s v="C1254"/>
    <x v="5"/>
    <x v="0"/>
    <n v="2"/>
    <n v="250"/>
    <n v="500"/>
    <n v="110"/>
    <n v="220"/>
    <n v="280"/>
    <x v="1"/>
    <x v="0"/>
    <x v="4"/>
    <n v="22.22"/>
    <n v="39.04"/>
    <n v="13.99"/>
    <n v="34.479999999999997"/>
    <n v="2.1"/>
    <n v="13.52"/>
    <n v="1.18"/>
    <n v="2.0499999999999998"/>
    <n v="151.41999999999999"/>
    <x v="0"/>
    <x v="0"/>
  </r>
  <r>
    <n v="602"/>
    <x v="45"/>
    <s v="C1338"/>
    <x v="7"/>
    <x v="2"/>
    <n v="2"/>
    <n v="150"/>
    <n v="300"/>
    <n v="70"/>
    <n v="140"/>
    <n v="160"/>
    <x v="3"/>
    <x v="1"/>
    <x v="1"/>
    <n v="22.48"/>
    <n v="40.159999999999997"/>
    <n v="10.86"/>
    <n v="21.62"/>
    <n v="1.49"/>
    <n v="2.0299999999999998"/>
    <n v="6.18"/>
    <n v="0.94"/>
    <n v="54.24"/>
    <x v="2"/>
    <x v="0"/>
  </r>
  <r>
    <n v="603"/>
    <x v="89"/>
    <s v="C1214"/>
    <x v="3"/>
    <x v="2"/>
    <n v="2"/>
    <n v="180"/>
    <n v="360"/>
    <n v="90"/>
    <n v="180"/>
    <n v="180"/>
    <x v="4"/>
    <x v="3"/>
    <x v="3"/>
    <n v="14.7"/>
    <n v="48.37"/>
    <n v="7.16"/>
    <n v="29.26"/>
    <n v="0.76"/>
    <n v="6.84"/>
    <n v="1.4"/>
    <n v="0.72"/>
    <n v="70.790000000000006"/>
    <x v="1"/>
    <x v="0"/>
  </r>
  <r>
    <n v="604"/>
    <x v="55"/>
    <s v="C1217"/>
    <x v="6"/>
    <x v="0"/>
    <n v="4"/>
    <n v="180"/>
    <n v="720"/>
    <n v="75"/>
    <n v="300"/>
    <n v="420"/>
    <x v="3"/>
    <x v="2"/>
    <x v="4"/>
    <n v="30.36"/>
    <n v="20.23"/>
    <n v="14.02"/>
    <n v="2.58"/>
    <n v="0.91"/>
    <n v="5.93"/>
    <n v="2.4700000000000002"/>
    <n v="2.08"/>
    <n v="341.42"/>
    <x v="2"/>
    <x v="0"/>
  </r>
  <r>
    <n v="605"/>
    <x v="2"/>
    <s v="C1269"/>
    <x v="2"/>
    <x v="1"/>
    <n v="3"/>
    <n v="80"/>
    <n v="240"/>
    <n v="30"/>
    <n v="90"/>
    <n v="150"/>
    <x v="2"/>
    <x v="3"/>
    <x v="3"/>
    <n v="15.73"/>
    <n v="36.07"/>
    <n v="19.489999999999998"/>
    <n v="5.55"/>
    <n v="1.69"/>
    <n v="12.67"/>
    <n v="5.0599999999999996"/>
    <n v="1.71"/>
    <n v="52.03"/>
    <x v="2"/>
    <x v="1"/>
  </r>
  <r>
    <n v="606"/>
    <x v="8"/>
    <s v="C1287"/>
    <x v="1"/>
    <x v="0"/>
    <n v="2"/>
    <n v="220"/>
    <n v="440"/>
    <n v="100"/>
    <n v="200"/>
    <n v="240"/>
    <x v="2"/>
    <x v="0"/>
    <x v="0"/>
    <n v="30.84"/>
    <n v="26.03"/>
    <n v="10.97"/>
    <n v="9.6999999999999993"/>
    <n v="2.35"/>
    <n v="6.36"/>
    <n v="5.5"/>
    <n v="2.84"/>
    <n v="145.41"/>
    <x v="2"/>
    <x v="0"/>
  </r>
  <r>
    <n v="607"/>
    <x v="166"/>
    <s v="C1096"/>
    <x v="0"/>
    <x v="0"/>
    <n v="4"/>
    <n v="200"/>
    <n v="800"/>
    <n v="90"/>
    <n v="360"/>
    <n v="440"/>
    <x v="0"/>
    <x v="0"/>
    <x v="1"/>
    <n v="30.27"/>
    <n v="44.39"/>
    <n v="18.39"/>
    <n v="18.100000000000001"/>
    <n v="3.85"/>
    <n v="13.23"/>
    <n v="5.89"/>
    <n v="1.9"/>
    <n v="303.98"/>
    <x v="2"/>
    <x v="1"/>
  </r>
  <r>
    <n v="608"/>
    <x v="51"/>
    <s v="C1246"/>
    <x v="2"/>
    <x v="1"/>
    <n v="3"/>
    <n v="80"/>
    <n v="240"/>
    <n v="30"/>
    <n v="90"/>
    <n v="150"/>
    <x v="2"/>
    <x v="0"/>
    <x v="5"/>
    <n v="22.33"/>
    <n v="43.25"/>
    <n v="16.27"/>
    <n v="13.82"/>
    <n v="3.53"/>
    <n v="2.2400000000000002"/>
    <n v="2.59"/>
    <n v="2.4"/>
    <n v="43.57"/>
    <x v="0"/>
    <x v="0"/>
  </r>
  <r>
    <n v="609"/>
    <x v="38"/>
    <s v="C1046"/>
    <x v="0"/>
    <x v="0"/>
    <n v="2"/>
    <n v="200"/>
    <n v="400"/>
    <n v="90"/>
    <n v="180"/>
    <n v="220"/>
    <x v="4"/>
    <x v="1"/>
    <x v="1"/>
    <n v="22.77"/>
    <n v="38.36"/>
    <n v="19.84"/>
    <n v="14.95"/>
    <n v="0.57999999999999996"/>
    <n v="4.1900000000000004"/>
    <n v="5.85"/>
    <n v="2.61"/>
    <n v="110.85"/>
    <x v="2"/>
    <x v="0"/>
  </r>
  <r>
    <n v="610"/>
    <x v="29"/>
    <s v="C1286"/>
    <x v="5"/>
    <x v="0"/>
    <n v="1"/>
    <n v="250"/>
    <n v="250"/>
    <n v="110"/>
    <n v="110"/>
    <n v="140"/>
    <x v="3"/>
    <x v="3"/>
    <x v="4"/>
    <n v="15.23"/>
    <n v="45.4"/>
    <n v="14.2"/>
    <n v="34.89"/>
    <n v="1.29"/>
    <n v="3.45"/>
    <n v="1.23"/>
    <n v="0.04"/>
    <n v="24.27"/>
    <x v="1"/>
    <x v="1"/>
  </r>
  <r>
    <n v="611"/>
    <x v="60"/>
    <s v="C1158"/>
    <x v="6"/>
    <x v="0"/>
    <n v="4"/>
    <n v="180"/>
    <n v="720"/>
    <n v="75"/>
    <n v="300"/>
    <n v="420"/>
    <x v="1"/>
    <x v="2"/>
    <x v="3"/>
    <n v="28.83"/>
    <n v="30.97"/>
    <n v="9.52"/>
    <n v="20.12"/>
    <n v="0.11"/>
    <n v="8.23"/>
    <n v="2.37"/>
    <n v="0.72"/>
    <n v="319.13"/>
    <x v="1"/>
    <x v="1"/>
  </r>
  <r>
    <n v="612"/>
    <x v="109"/>
    <s v="C1083"/>
    <x v="1"/>
    <x v="0"/>
    <n v="4"/>
    <n v="220"/>
    <n v="880"/>
    <n v="100"/>
    <n v="400"/>
    <n v="480"/>
    <x v="4"/>
    <x v="1"/>
    <x v="3"/>
    <n v="12.82"/>
    <n v="44.35"/>
    <n v="7.53"/>
    <n v="4.41"/>
    <n v="0.54"/>
    <n v="11.85"/>
    <n v="2.46"/>
    <n v="2.35"/>
    <n v="393.69"/>
    <x v="1"/>
    <x v="0"/>
  </r>
  <r>
    <n v="613"/>
    <x v="36"/>
    <s v="C1179"/>
    <x v="2"/>
    <x v="1"/>
    <n v="3"/>
    <n v="80"/>
    <n v="240"/>
    <n v="30"/>
    <n v="90"/>
    <n v="150"/>
    <x v="0"/>
    <x v="3"/>
    <x v="2"/>
    <n v="10.98"/>
    <n v="50.09"/>
    <n v="15.9"/>
    <n v="3.42"/>
    <n v="0.04"/>
    <n v="2.82"/>
    <n v="7.32"/>
    <n v="1.47"/>
    <n v="57.96"/>
    <x v="1"/>
    <x v="0"/>
  </r>
  <r>
    <n v="614"/>
    <x v="55"/>
    <s v="C1293"/>
    <x v="1"/>
    <x v="0"/>
    <n v="3"/>
    <n v="220"/>
    <n v="660"/>
    <n v="100"/>
    <n v="300"/>
    <n v="360"/>
    <x v="4"/>
    <x v="1"/>
    <x v="4"/>
    <n v="38.68"/>
    <n v="44.22"/>
    <n v="19.73"/>
    <n v="25.01"/>
    <n v="3.65"/>
    <n v="12.62"/>
    <n v="5.76"/>
    <n v="1.68"/>
    <n v="208.65"/>
    <x v="0"/>
    <x v="0"/>
  </r>
  <r>
    <n v="615"/>
    <x v="125"/>
    <s v="C1244"/>
    <x v="7"/>
    <x v="2"/>
    <n v="1"/>
    <n v="150"/>
    <n v="150"/>
    <n v="70"/>
    <n v="70"/>
    <n v="80"/>
    <x v="2"/>
    <x v="4"/>
    <x v="4"/>
    <n v="35.72"/>
    <n v="15.72"/>
    <n v="11.77"/>
    <n v="34.340000000000003"/>
    <n v="1.96"/>
    <n v="8.2200000000000006"/>
    <n v="2.59"/>
    <n v="0.01"/>
    <n v="-30.33"/>
    <x v="1"/>
    <x v="0"/>
  </r>
  <r>
    <n v="616"/>
    <x v="41"/>
    <s v="C1099"/>
    <x v="6"/>
    <x v="0"/>
    <n v="1"/>
    <n v="180"/>
    <n v="180"/>
    <n v="75"/>
    <n v="75"/>
    <n v="105"/>
    <x v="3"/>
    <x v="0"/>
    <x v="2"/>
    <n v="27.79"/>
    <n v="48.27"/>
    <n v="18.559999999999999"/>
    <n v="33.020000000000003"/>
    <n v="0.81"/>
    <n v="7.25"/>
    <n v="6.94"/>
    <n v="2.88"/>
    <n v="-40.520000000000003"/>
    <x v="2"/>
    <x v="0"/>
  </r>
  <r>
    <n v="617"/>
    <x v="133"/>
    <s v="C1242"/>
    <x v="0"/>
    <x v="0"/>
    <n v="3"/>
    <n v="200"/>
    <n v="600"/>
    <n v="90"/>
    <n v="270"/>
    <n v="330"/>
    <x v="1"/>
    <x v="3"/>
    <x v="4"/>
    <n v="23.76"/>
    <n v="21.76"/>
    <n v="7.55"/>
    <n v="9.6"/>
    <n v="4.9000000000000004"/>
    <n v="12.22"/>
    <n v="6.44"/>
    <n v="2.4300000000000002"/>
    <n v="241.34"/>
    <x v="0"/>
    <x v="0"/>
  </r>
  <r>
    <n v="618"/>
    <x v="162"/>
    <s v="C1174"/>
    <x v="2"/>
    <x v="1"/>
    <n v="4"/>
    <n v="80"/>
    <n v="320"/>
    <n v="30"/>
    <n v="120"/>
    <n v="200"/>
    <x v="3"/>
    <x v="2"/>
    <x v="3"/>
    <n v="20.58"/>
    <n v="16.54"/>
    <n v="14.71"/>
    <n v="16.11"/>
    <n v="0.23"/>
    <n v="12.72"/>
    <n v="7.77"/>
    <n v="0.11"/>
    <n v="111.23"/>
    <x v="2"/>
    <x v="0"/>
  </r>
  <r>
    <n v="619"/>
    <x v="88"/>
    <s v="C1115"/>
    <x v="0"/>
    <x v="0"/>
    <n v="1"/>
    <n v="200"/>
    <n v="200"/>
    <n v="90"/>
    <n v="90"/>
    <n v="110"/>
    <x v="0"/>
    <x v="3"/>
    <x v="4"/>
    <n v="18.600000000000001"/>
    <n v="34.619999999999997"/>
    <n v="8.2799999999999994"/>
    <n v="23.95"/>
    <n v="0.23"/>
    <n v="2.75"/>
    <n v="2.27"/>
    <n v="0.71"/>
    <n v="18.59"/>
    <x v="2"/>
    <x v="0"/>
  </r>
  <r>
    <n v="620"/>
    <x v="3"/>
    <s v="C1345"/>
    <x v="1"/>
    <x v="0"/>
    <n v="1"/>
    <n v="220"/>
    <n v="220"/>
    <n v="100"/>
    <n v="100"/>
    <n v="120"/>
    <x v="2"/>
    <x v="3"/>
    <x v="3"/>
    <n v="16.420000000000002"/>
    <n v="39.83"/>
    <n v="14.17"/>
    <n v="8.61"/>
    <n v="0.16"/>
    <n v="13.79"/>
    <n v="1.24"/>
    <n v="2"/>
    <n v="23.78"/>
    <x v="2"/>
    <x v="0"/>
  </r>
  <r>
    <n v="621"/>
    <x v="173"/>
    <s v="C1266"/>
    <x v="3"/>
    <x v="2"/>
    <n v="1"/>
    <n v="180"/>
    <n v="180"/>
    <n v="90"/>
    <n v="90"/>
    <n v="90"/>
    <x v="4"/>
    <x v="4"/>
    <x v="5"/>
    <n v="18.399999999999999"/>
    <n v="44.3"/>
    <n v="9.2200000000000006"/>
    <n v="25.68"/>
    <n v="4.68"/>
    <n v="10.09"/>
    <n v="4.93"/>
    <n v="0.12"/>
    <n v="-27.42"/>
    <x v="1"/>
    <x v="1"/>
  </r>
  <r>
    <n v="622"/>
    <x v="110"/>
    <s v="C1150"/>
    <x v="6"/>
    <x v="0"/>
    <n v="1"/>
    <n v="180"/>
    <n v="180"/>
    <n v="75"/>
    <n v="75"/>
    <n v="105"/>
    <x v="0"/>
    <x v="0"/>
    <x v="3"/>
    <n v="34.340000000000003"/>
    <n v="58.72"/>
    <n v="14.96"/>
    <n v="0.68"/>
    <n v="1.88"/>
    <n v="9.56"/>
    <n v="6.02"/>
    <n v="1.1000000000000001"/>
    <n v="-22.26"/>
    <x v="0"/>
    <x v="0"/>
  </r>
  <r>
    <n v="623"/>
    <x v="140"/>
    <s v="C1113"/>
    <x v="0"/>
    <x v="0"/>
    <n v="2"/>
    <n v="200"/>
    <n v="400"/>
    <n v="90"/>
    <n v="180"/>
    <n v="220"/>
    <x v="2"/>
    <x v="2"/>
    <x v="2"/>
    <n v="39.159999999999997"/>
    <n v="31.33"/>
    <n v="15.56"/>
    <n v="22.35"/>
    <n v="1.76"/>
    <n v="11.23"/>
    <n v="5.61"/>
    <n v="1.24"/>
    <n v="91.76"/>
    <x v="2"/>
    <x v="1"/>
  </r>
  <r>
    <n v="624"/>
    <x v="153"/>
    <s v="C1145"/>
    <x v="6"/>
    <x v="0"/>
    <n v="2"/>
    <n v="180"/>
    <n v="360"/>
    <n v="75"/>
    <n v="150"/>
    <n v="210"/>
    <x v="4"/>
    <x v="3"/>
    <x v="5"/>
    <n v="26.08"/>
    <n v="31.04"/>
    <n v="18.670000000000002"/>
    <n v="26.62"/>
    <n v="0.3"/>
    <n v="8.16"/>
    <n v="1.24"/>
    <n v="0.93"/>
    <n v="96.96"/>
    <x v="1"/>
    <x v="0"/>
  </r>
  <r>
    <n v="625"/>
    <x v="25"/>
    <s v="C1250"/>
    <x v="4"/>
    <x v="0"/>
    <n v="2"/>
    <n v="120"/>
    <n v="240"/>
    <n v="50"/>
    <n v="100"/>
    <n v="140"/>
    <x v="2"/>
    <x v="1"/>
    <x v="4"/>
    <n v="29.27"/>
    <n v="40.78"/>
    <n v="9.4600000000000009"/>
    <n v="18.71"/>
    <n v="2.67"/>
    <n v="10.64"/>
    <n v="4.12"/>
    <n v="0.98"/>
    <n v="23.37"/>
    <x v="2"/>
    <x v="1"/>
  </r>
  <r>
    <n v="626"/>
    <x v="137"/>
    <s v="C1194"/>
    <x v="0"/>
    <x v="0"/>
    <n v="4"/>
    <n v="200"/>
    <n v="800"/>
    <n v="90"/>
    <n v="360"/>
    <n v="440"/>
    <x v="0"/>
    <x v="2"/>
    <x v="1"/>
    <n v="15.65"/>
    <n v="36.32"/>
    <n v="19.27"/>
    <n v="19.97"/>
    <n v="3.59"/>
    <n v="7.14"/>
    <n v="7.26"/>
    <n v="2.95"/>
    <n v="327.85"/>
    <x v="2"/>
    <x v="0"/>
  </r>
  <r>
    <n v="627"/>
    <x v="45"/>
    <s v="C1145"/>
    <x v="1"/>
    <x v="0"/>
    <n v="2"/>
    <n v="220"/>
    <n v="440"/>
    <n v="100"/>
    <n v="200"/>
    <n v="240"/>
    <x v="2"/>
    <x v="0"/>
    <x v="0"/>
    <n v="16.52"/>
    <n v="59.81"/>
    <n v="17.850000000000001"/>
    <n v="17.829999999999998"/>
    <n v="0.15"/>
    <n v="5.13"/>
    <n v="6.06"/>
    <n v="0.98"/>
    <n v="115.67"/>
    <x v="0"/>
    <x v="1"/>
  </r>
  <r>
    <n v="628"/>
    <x v="22"/>
    <s v="C1132"/>
    <x v="5"/>
    <x v="0"/>
    <n v="2"/>
    <n v="250"/>
    <n v="500"/>
    <n v="110"/>
    <n v="220"/>
    <n v="280"/>
    <x v="4"/>
    <x v="4"/>
    <x v="1"/>
    <n v="29.88"/>
    <n v="26.75"/>
    <n v="7.73"/>
    <n v="2.0699999999999998"/>
    <n v="0.49"/>
    <n v="10.050000000000001"/>
    <n v="5.51"/>
    <n v="1.98"/>
    <n v="195.54"/>
    <x v="0"/>
    <x v="1"/>
  </r>
  <r>
    <n v="629"/>
    <x v="93"/>
    <s v="C1075"/>
    <x v="1"/>
    <x v="0"/>
    <n v="2"/>
    <n v="220"/>
    <n v="440"/>
    <n v="100"/>
    <n v="200"/>
    <n v="240"/>
    <x v="0"/>
    <x v="4"/>
    <x v="4"/>
    <n v="27.71"/>
    <n v="35.96"/>
    <n v="16.86"/>
    <n v="31.14"/>
    <n v="4.07"/>
    <n v="2.2000000000000002"/>
    <n v="6.4"/>
    <n v="1.46"/>
    <n v="114.2"/>
    <x v="1"/>
    <x v="0"/>
  </r>
  <r>
    <n v="630"/>
    <x v="173"/>
    <s v="C1313"/>
    <x v="6"/>
    <x v="0"/>
    <n v="2"/>
    <n v="180"/>
    <n v="360"/>
    <n v="75"/>
    <n v="150"/>
    <n v="210"/>
    <x v="0"/>
    <x v="2"/>
    <x v="4"/>
    <n v="13.77"/>
    <n v="46.99"/>
    <n v="15.04"/>
    <n v="9.1999999999999993"/>
    <n v="1.41"/>
    <n v="7.91"/>
    <n v="5.82"/>
    <n v="1.81"/>
    <n v="108.05"/>
    <x v="2"/>
    <x v="0"/>
  </r>
  <r>
    <n v="631"/>
    <x v="45"/>
    <s v="C1245"/>
    <x v="1"/>
    <x v="0"/>
    <n v="2"/>
    <n v="220"/>
    <n v="440"/>
    <n v="100"/>
    <n v="200"/>
    <n v="240"/>
    <x v="3"/>
    <x v="4"/>
    <x v="0"/>
    <n v="28.46"/>
    <n v="48.45"/>
    <n v="18.88"/>
    <n v="17.510000000000002"/>
    <n v="1.78"/>
    <n v="3.25"/>
    <n v="1"/>
    <n v="2.96"/>
    <n v="117.71"/>
    <x v="0"/>
    <x v="0"/>
  </r>
  <r>
    <n v="632"/>
    <x v="120"/>
    <s v="C1060"/>
    <x v="2"/>
    <x v="1"/>
    <n v="3"/>
    <n v="80"/>
    <n v="240"/>
    <n v="30"/>
    <n v="90"/>
    <n v="150"/>
    <x v="2"/>
    <x v="1"/>
    <x v="5"/>
    <n v="34.4"/>
    <n v="58.89"/>
    <n v="10.59"/>
    <n v="29.56"/>
    <n v="3.86"/>
    <n v="13.91"/>
    <n v="3.07"/>
    <n v="0.66"/>
    <n v="-4.9400000000000004"/>
    <x v="2"/>
    <x v="1"/>
  </r>
  <r>
    <n v="633"/>
    <x v="151"/>
    <s v="C1193"/>
    <x v="5"/>
    <x v="0"/>
    <n v="3"/>
    <n v="250"/>
    <n v="750"/>
    <n v="110"/>
    <n v="330"/>
    <n v="420"/>
    <x v="2"/>
    <x v="0"/>
    <x v="5"/>
    <n v="19.91"/>
    <n v="53.8"/>
    <n v="13.88"/>
    <n v="2.5299999999999998"/>
    <n v="1.84"/>
    <n v="6.18"/>
    <n v="4.1900000000000004"/>
    <n v="2.97"/>
    <n v="314.7"/>
    <x v="0"/>
    <x v="0"/>
  </r>
  <r>
    <n v="634"/>
    <x v="168"/>
    <s v="C1263"/>
    <x v="2"/>
    <x v="1"/>
    <n v="2"/>
    <n v="80"/>
    <n v="160"/>
    <n v="30"/>
    <n v="60"/>
    <n v="100"/>
    <x v="1"/>
    <x v="4"/>
    <x v="3"/>
    <n v="11.11"/>
    <n v="34.14"/>
    <n v="8.56"/>
    <n v="28.8"/>
    <n v="2.2200000000000002"/>
    <n v="11.81"/>
    <n v="1.79"/>
    <n v="2.81"/>
    <n v="-1.24"/>
    <x v="0"/>
    <x v="1"/>
  </r>
  <r>
    <n v="635"/>
    <x v="174"/>
    <s v="C1158"/>
    <x v="0"/>
    <x v="0"/>
    <n v="3"/>
    <n v="200"/>
    <n v="600"/>
    <n v="90"/>
    <n v="270"/>
    <n v="330"/>
    <x v="3"/>
    <x v="4"/>
    <x v="5"/>
    <n v="20.309999999999999"/>
    <n v="19.68"/>
    <n v="19.2"/>
    <n v="26.75"/>
    <n v="4.82"/>
    <n v="4.2300000000000004"/>
    <n v="2.75"/>
    <n v="1.41"/>
    <n v="230.85"/>
    <x v="0"/>
    <x v="0"/>
  </r>
  <r>
    <n v="636"/>
    <x v="145"/>
    <s v="C1258"/>
    <x v="2"/>
    <x v="1"/>
    <n v="1"/>
    <n v="80"/>
    <n v="80"/>
    <n v="30"/>
    <n v="30"/>
    <n v="50"/>
    <x v="2"/>
    <x v="1"/>
    <x v="4"/>
    <n v="38.619999999999997"/>
    <n v="51.43"/>
    <n v="8.19"/>
    <n v="22.76"/>
    <n v="0.17"/>
    <n v="8.3800000000000008"/>
    <n v="7.17"/>
    <n v="1.97"/>
    <n v="-88.69"/>
    <x v="2"/>
    <x v="1"/>
  </r>
  <r>
    <n v="637"/>
    <x v="7"/>
    <s v="C1313"/>
    <x v="6"/>
    <x v="0"/>
    <n v="1"/>
    <n v="180"/>
    <n v="180"/>
    <n v="75"/>
    <n v="75"/>
    <n v="105"/>
    <x v="4"/>
    <x v="0"/>
    <x v="5"/>
    <n v="38.33"/>
    <n v="42.01"/>
    <n v="12.77"/>
    <n v="32.43"/>
    <n v="2.4300000000000002"/>
    <n v="4.2699999999999996"/>
    <n v="7.91"/>
    <n v="0.57999999999999996"/>
    <n v="-35.729999999999997"/>
    <x v="2"/>
    <x v="0"/>
  </r>
  <r>
    <n v="638"/>
    <x v="74"/>
    <s v="C1335"/>
    <x v="3"/>
    <x v="2"/>
    <n v="2"/>
    <n v="180"/>
    <n v="360"/>
    <n v="90"/>
    <n v="180"/>
    <n v="180"/>
    <x v="2"/>
    <x v="1"/>
    <x v="2"/>
    <n v="17.46"/>
    <n v="20.62"/>
    <n v="5.36"/>
    <n v="15.72"/>
    <n v="1.6"/>
    <n v="3.56"/>
    <n v="7.43"/>
    <n v="1.55"/>
    <n v="106.7"/>
    <x v="0"/>
    <x v="0"/>
  </r>
  <r>
    <n v="639"/>
    <x v="24"/>
    <s v="C1142"/>
    <x v="1"/>
    <x v="0"/>
    <n v="2"/>
    <n v="220"/>
    <n v="440"/>
    <n v="100"/>
    <n v="200"/>
    <n v="240"/>
    <x v="2"/>
    <x v="2"/>
    <x v="3"/>
    <n v="22.66"/>
    <n v="36.380000000000003"/>
    <n v="19.579999999999998"/>
    <n v="20.89"/>
    <n v="0.63"/>
    <n v="4.62"/>
    <n v="1.4"/>
    <n v="2.33"/>
    <n v="131.51"/>
    <x v="0"/>
    <x v="1"/>
  </r>
  <r>
    <n v="640"/>
    <x v="127"/>
    <s v="C1328"/>
    <x v="4"/>
    <x v="0"/>
    <n v="1"/>
    <n v="120"/>
    <n v="120"/>
    <n v="50"/>
    <n v="50"/>
    <n v="70"/>
    <x v="1"/>
    <x v="4"/>
    <x v="0"/>
    <n v="13.49"/>
    <n v="52.63"/>
    <n v="9.86"/>
    <n v="24.43"/>
    <n v="1.38"/>
    <n v="8.65"/>
    <n v="2.65"/>
    <n v="2.44"/>
    <n v="-45.53"/>
    <x v="2"/>
    <x v="1"/>
  </r>
  <r>
    <n v="641"/>
    <x v="91"/>
    <s v="C1099"/>
    <x v="0"/>
    <x v="0"/>
    <n v="2"/>
    <n v="200"/>
    <n v="400"/>
    <n v="90"/>
    <n v="180"/>
    <n v="220"/>
    <x v="1"/>
    <x v="1"/>
    <x v="1"/>
    <n v="27.83"/>
    <n v="57.18"/>
    <n v="6.98"/>
    <n v="23.28"/>
    <n v="2.82"/>
    <n v="9.7799999999999994"/>
    <n v="7.17"/>
    <n v="1.84"/>
    <n v="83.12"/>
    <x v="0"/>
    <x v="0"/>
  </r>
  <r>
    <n v="642"/>
    <x v="78"/>
    <s v="C1288"/>
    <x v="1"/>
    <x v="0"/>
    <n v="3"/>
    <n v="220"/>
    <n v="660"/>
    <n v="100"/>
    <n v="300"/>
    <n v="360"/>
    <x v="0"/>
    <x v="0"/>
    <x v="2"/>
    <n v="15.27"/>
    <n v="27.71"/>
    <n v="19.850000000000001"/>
    <n v="10.86"/>
    <n v="1.1399999999999999"/>
    <n v="14.2"/>
    <n v="6.51"/>
    <n v="3"/>
    <n v="261.45999999999998"/>
    <x v="1"/>
    <x v="1"/>
  </r>
  <r>
    <n v="643"/>
    <x v="6"/>
    <s v="C1330"/>
    <x v="1"/>
    <x v="0"/>
    <n v="3"/>
    <n v="220"/>
    <n v="660"/>
    <n v="100"/>
    <n v="300"/>
    <n v="360"/>
    <x v="2"/>
    <x v="0"/>
    <x v="2"/>
    <n v="32.97"/>
    <n v="16.77"/>
    <n v="15.29"/>
    <n v="22.37"/>
    <n v="1.47"/>
    <n v="7.25"/>
    <n v="2.27"/>
    <n v="2.4300000000000002"/>
    <n v="259.18"/>
    <x v="0"/>
    <x v="1"/>
  </r>
  <r>
    <n v="644"/>
    <x v="175"/>
    <s v="C1276"/>
    <x v="6"/>
    <x v="0"/>
    <n v="3"/>
    <n v="180"/>
    <n v="540"/>
    <n v="75"/>
    <n v="225"/>
    <n v="315"/>
    <x v="2"/>
    <x v="2"/>
    <x v="4"/>
    <n v="27.53"/>
    <n v="59.1"/>
    <n v="15.04"/>
    <n v="16.260000000000002"/>
    <n v="3.84"/>
    <n v="11.98"/>
    <n v="3.12"/>
    <n v="0.11"/>
    <n v="178.02"/>
    <x v="0"/>
    <x v="1"/>
  </r>
  <r>
    <n v="645"/>
    <x v="125"/>
    <s v="C1201"/>
    <x v="3"/>
    <x v="2"/>
    <n v="2"/>
    <n v="180"/>
    <n v="360"/>
    <n v="90"/>
    <n v="180"/>
    <n v="180"/>
    <x v="3"/>
    <x v="0"/>
    <x v="0"/>
    <n v="28.12"/>
    <n v="49.54"/>
    <n v="12.76"/>
    <n v="18.45"/>
    <n v="3.06"/>
    <n v="10.44"/>
    <n v="2.87"/>
    <n v="0.47"/>
    <n v="54.29"/>
    <x v="2"/>
    <x v="0"/>
  </r>
  <r>
    <n v="646"/>
    <x v="150"/>
    <s v="C1044"/>
    <x v="5"/>
    <x v="0"/>
    <n v="2"/>
    <n v="250"/>
    <n v="500"/>
    <n v="110"/>
    <n v="220"/>
    <n v="280"/>
    <x v="4"/>
    <x v="0"/>
    <x v="0"/>
    <n v="26.32"/>
    <n v="24.8"/>
    <n v="15"/>
    <n v="28.52"/>
    <n v="1.1599999999999999"/>
    <n v="8.1"/>
    <n v="1.89"/>
    <n v="1.69"/>
    <n v="172.52"/>
    <x v="1"/>
    <x v="1"/>
  </r>
  <r>
    <n v="647"/>
    <x v="101"/>
    <s v="C1098"/>
    <x v="5"/>
    <x v="0"/>
    <n v="1"/>
    <n v="250"/>
    <n v="250"/>
    <n v="110"/>
    <n v="110"/>
    <n v="140"/>
    <x v="3"/>
    <x v="4"/>
    <x v="5"/>
    <n v="28.05"/>
    <n v="34.97"/>
    <n v="6.15"/>
    <n v="32.090000000000003"/>
    <n v="2.67"/>
    <n v="12.83"/>
    <n v="2.52"/>
    <n v="2.84"/>
    <n v="17.88"/>
    <x v="2"/>
    <x v="1"/>
  </r>
  <r>
    <n v="648"/>
    <x v="31"/>
    <s v="C1050"/>
    <x v="0"/>
    <x v="0"/>
    <n v="4"/>
    <n v="200"/>
    <n v="800"/>
    <n v="90"/>
    <n v="360"/>
    <n v="440"/>
    <x v="4"/>
    <x v="2"/>
    <x v="4"/>
    <n v="26.11"/>
    <n v="58.71"/>
    <n v="15.14"/>
    <n v="1.97"/>
    <n v="0.4"/>
    <n v="13.06"/>
    <n v="4.1399999999999997"/>
    <n v="0.66"/>
    <n v="319.81"/>
    <x v="0"/>
    <x v="0"/>
  </r>
  <r>
    <n v="649"/>
    <x v="73"/>
    <s v="C1318"/>
    <x v="2"/>
    <x v="1"/>
    <n v="2"/>
    <n v="80"/>
    <n v="160"/>
    <n v="30"/>
    <n v="60"/>
    <n v="100"/>
    <x v="2"/>
    <x v="3"/>
    <x v="3"/>
    <n v="37.21"/>
    <n v="30.66"/>
    <n v="5.73"/>
    <n v="25.2"/>
    <n v="4.97"/>
    <n v="9.81"/>
    <n v="3.14"/>
    <n v="0.28000000000000003"/>
    <n v="-17"/>
    <x v="1"/>
    <x v="1"/>
  </r>
  <r>
    <n v="650"/>
    <x v="141"/>
    <s v="C1132"/>
    <x v="7"/>
    <x v="2"/>
    <n v="3"/>
    <n v="150"/>
    <n v="450"/>
    <n v="70"/>
    <n v="210"/>
    <n v="240"/>
    <x v="4"/>
    <x v="3"/>
    <x v="0"/>
    <n v="34.880000000000003"/>
    <n v="48.41"/>
    <n v="19.88"/>
    <n v="18.11"/>
    <n v="0.15"/>
    <n v="13.68"/>
    <n v="4.18"/>
    <n v="2.09"/>
    <n v="98.62"/>
    <x v="2"/>
    <x v="0"/>
  </r>
  <r>
    <n v="651"/>
    <x v="80"/>
    <s v="C1087"/>
    <x v="6"/>
    <x v="0"/>
    <n v="1"/>
    <n v="180"/>
    <n v="180"/>
    <n v="75"/>
    <n v="75"/>
    <n v="105"/>
    <x v="0"/>
    <x v="3"/>
    <x v="2"/>
    <n v="16.89"/>
    <n v="47.66"/>
    <n v="15.11"/>
    <n v="11.94"/>
    <n v="2.2799999999999998"/>
    <n v="3.02"/>
    <n v="6.72"/>
    <n v="0.26"/>
    <n v="1.1200000000000001"/>
    <x v="0"/>
    <x v="0"/>
  </r>
  <r>
    <n v="652"/>
    <x v="0"/>
    <s v="C1330"/>
    <x v="1"/>
    <x v="0"/>
    <n v="2"/>
    <n v="220"/>
    <n v="440"/>
    <n v="100"/>
    <n v="200"/>
    <n v="240"/>
    <x v="3"/>
    <x v="1"/>
    <x v="4"/>
    <n v="21.28"/>
    <n v="26.63"/>
    <n v="12.63"/>
    <n v="24.46"/>
    <n v="2.14"/>
    <n v="5.92"/>
    <n v="4.6100000000000003"/>
    <n v="1.33"/>
    <n v="141"/>
    <x v="1"/>
    <x v="0"/>
  </r>
  <r>
    <n v="653"/>
    <x v="131"/>
    <s v="C1061"/>
    <x v="3"/>
    <x v="2"/>
    <n v="1"/>
    <n v="180"/>
    <n v="180"/>
    <n v="90"/>
    <n v="90"/>
    <n v="90"/>
    <x v="0"/>
    <x v="4"/>
    <x v="5"/>
    <n v="33.369999999999997"/>
    <n v="52.51"/>
    <n v="11.06"/>
    <n v="24.07"/>
    <n v="2.59"/>
    <n v="12.32"/>
    <n v="7.35"/>
    <n v="0.06"/>
    <n v="-53.33"/>
    <x v="0"/>
    <x v="0"/>
  </r>
  <r>
    <n v="654"/>
    <x v="56"/>
    <s v="C1005"/>
    <x v="0"/>
    <x v="0"/>
    <n v="1"/>
    <n v="200"/>
    <n v="200"/>
    <n v="90"/>
    <n v="90"/>
    <n v="110"/>
    <x v="1"/>
    <x v="0"/>
    <x v="3"/>
    <n v="29.1"/>
    <n v="23.95"/>
    <n v="13.31"/>
    <n v="31.67"/>
    <n v="4.8899999999999997"/>
    <n v="13.12"/>
    <n v="5.05"/>
    <n v="0.24"/>
    <n v="-11.33"/>
    <x v="1"/>
    <x v="1"/>
  </r>
  <r>
    <n v="655"/>
    <x v="170"/>
    <s v="C1220"/>
    <x v="7"/>
    <x v="2"/>
    <n v="4"/>
    <n v="150"/>
    <n v="600"/>
    <n v="70"/>
    <n v="280"/>
    <n v="320"/>
    <x v="1"/>
    <x v="3"/>
    <x v="3"/>
    <n v="23.22"/>
    <n v="26.14"/>
    <n v="6.95"/>
    <n v="8.1999999999999993"/>
    <n v="1.48"/>
    <n v="10.8"/>
    <n v="5.73"/>
    <n v="0.66"/>
    <n v="236.82"/>
    <x v="2"/>
    <x v="0"/>
  </r>
  <r>
    <n v="656"/>
    <x v="18"/>
    <s v="C1079"/>
    <x v="5"/>
    <x v="0"/>
    <n v="1"/>
    <n v="250"/>
    <n v="250"/>
    <n v="110"/>
    <n v="110"/>
    <n v="140"/>
    <x v="3"/>
    <x v="1"/>
    <x v="2"/>
    <n v="11.75"/>
    <n v="29.1"/>
    <n v="12.01"/>
    <n v="6.31"/>
    <n v="1.46"/>
    <n v="7.02"/>
    <n v="4.04"/>
    <n v="0.45"/>
    <n v="67.86"/>
    <x v="1"/>
    <x v="1"/>
  </r>
  <r>
    <n v="657"/>
    <x v="136"/>
    <s v="C1048"/>
    <x v="4"/>
    <x v="0"/>
    <n v="4"/>
    <n v="120"/>
    <n v="480"/>
    <n v="50"/>
    <n v="200"/>
    <n v="280"/>
    <x v="0"/>
    <x v="0"/>
    <x v="0"/>
    <n v="21.84"/>
    <n v="53.86"/>
    <n v="7.04"/>
    <n v="14.14"/>
    <n v="3.45"/>
    <n v="9.17"/>
    <n v="4.16"/>
    <n v="0.25"/>
    <n v="166.09"/>
    <x v="1"/>
    <x v="0"/>
  </r>
  <r>
    <n v="658"/>
    <x v="129"/>
    <s v="C1261"/>
    <x v="4"/>
    <x v="0"/>
    <n v="3"/>
    <n v="120"/>
    <n v="360"/>
    <n v="50"/>
    <n v="150"/>
    <n v="210"/>
    <x v="1"/>
    <x v="1"/>
    <x v="0"/>
    <n v="14.85"/>
    <n v="28.72"/>
    <n v="14.84"/>
    <n v="11.81"/>
    <n v="4.63"/>
    <n v="8.74"/>
    <n v="2.0299999999999998"/>
    <n v="0.24"/>
    <n v="124.14"/>
    <x v="2"/>
    <x v="1"/>
  </r>
  <r>
    <n v="659"/>
    <x v="175"/>
    <s v="C1204"/>
    <x v="2"/>
    <x v="1"/>
    <n v="4"/>
    <n v="80"/>
    <n v="320"/>
    <n v="30"/>
    <n v="120"/>
    <n v="200"/>
    <x v="1"/>
    <x v="4"/>
    <x v="1"/>
    <n v="39.76"/>
    <n v="28.87"/>
    <n v="5.04"/>
    <n v="19.510000000000002"/>
    <n v="3.11"/>
    <n v="4.45"/>
    <n v="4.97"/>
    <n v="0.05"/>
    <n v="94.24"/>
    <x v="2"/>
    <x v="1"/>
  </r>
  <r>
    <n v="660"/>
    <x v="78"/>
    <s v="C1342"/>
    <x v="4"/>
    <x v="0"/>
    <n v="3"/>
    <n v="120"/>
    <n v="360"/>
    <n v="50"/>
    <n v="150"/>
    <n v="210"/>
    <x v="4"/>
    <x v="0"/>
    <x v="3"/>
    <n v="25.69"/>
    <n v="26.14"/>
    <n v="12.37"/>
    <n v="17.43"/>
    <n v="0.82"/>
    <n v="10.64"/>
    <n v="4.22"/>
    <n v="0.95"/>
    <n v="111.74"/>
    <x v="0"/>
    <x v="0"/>
  </r>
  <r>
    <n v="661"/>
    <x v="37"/>
    <s v="C1084"/>
    <x v="4"/>
    <x v="0"/>
    <n v="2"/>
    <n v="120"/>
    <n v="240"/>
    <n v="50"/>
    <n v="100"/>
    <n v="140"/>
    <x v="3"/>
    <x v="4"/>
    <x v="4"/>
    <n v="10.07"/>
    <n v="36.770000000000003"/>
    <n v="15.84"/>
    <n v="5.19"/>
    <n v="1.47"/>
    <n v="13.39"/>
    <n v="5.34"/>
    <n v="0.24"/>
    <n v="51.69"/>
    <x v="1"/>
    <x v="0"/>
  </r>
  <r>
    <n v="662"/>
    <x v="45"/>
    <s v="C1280"/>
    <x v="3"/>
    <x v="2"/>
    <n v="1"/>
    <n v="180"/>
    <n v="180"/>
    <n v="90"/>
    <n v="90"/>
    <n v="90"/>
    <x v="3"/>
    <x v="1"/>
    <x v="4"/>
    <n v="33.520000000000003"/>
    <n v="31.38"/>
    <n v="8"/>
    <n v="20.190000000000001"/>
    <n v="4.6500000000000004"/>
    <n v="11.72"/>
    <n v="4.82"/>
    <n v="0.82"/>
    <n v="-25.1"/>
    <x v="0"/>
    <x v="0"/>
  </r>
  <r>
    <n v="663"/>
    <x v="121"/>
    <s v="C1232"/>
    <x v="7"/>
    <x v="2"/>
    <n v="1"/>
    <n v="150"/>
    <n v="150"/>
    <n v="70"/>
    <n v="70"/>
    <n v="80"/>
    <x v="3"/>
    <x v="1"/>
    <x v="0"/>
    <n v="38.39"/>
    <n v="32.9"/>
    <n v="19.649999999999999"/>
    <n v="14.89"/>
    <n v="4.1900000000000004"/>
    <n v="5.41"/>
    <n v="7.6"/>
    <n v="1.69"/>
    <n v="-44.72"/>
    <x v="1"/>
    <x v="0"/>
  </r>
  <r>
    <n v="664"/>
    <x v="65"/>
    <s v="C1074"/>
    <x v="3"/>
    <x v="2"/>
    <n v="1"/>
    <n v="180"/>
    <n v="180"/>
    <n v="90"/>
    <n v="90"/>
    <n v="90"/>
    <x v="4"/>
    <x v="1"/>
    <x v="3"/>
    <n v="25.16"/>
    <n v="32.4"/>
    <n v="13.56"/>
    <n v="4.24"/>
    <n v="0.55000000000000004"/>
    <n v="2.56"/>
    <n v="1.59"/>
    <n v="2.85"/>
    <n v="7.09"/>
    <x v="1"/>
    <x v="0"/>
  </r>
  <r>
    <n v="665"/>
    <x v="52"/>
    <s v="C1017"/>
    <x v="6"/>
    <x v="0"/>
    <n v="3"/>
    <n v="180"/>
    <n v="540"/>
    <n v="75"/>
    <n v="225"/>
    <n v="315"/>
    <x v="1"/>
    <x v="0"/>
    <x v="2"/>
    <n v="33.020000000000003"/>
    <n v="51.56"/>
    <n v="5.33"/>
    <n v="34.11"/>
    <n v="4.74"/>
    <n v="10.199999999999999"/>
    <n v="6.04"/>
    <n v="1.45"/>
    <n v="168.55"/>
    <x v="2"/>
    <x v="1"/>
  </r>
  <r>
    <n v="666"/>
    <x v="12"/>
    <s v="C1148"/>
    <x v="0"/>
    <x v="0"/>
    <n v="3"/>
    <n v="200"/>
    <n v="600"/>
    <n v="90"/>
    <n v="270"/>
    <n v="330"/>
    <x v="2"/>
    <x v="0"/>
    <x v="2"/>
    <n v="33.020000000000003"/>
    <n v="25.25"/>
    <n v="8.81"/>
    <n v="26.25"/>
    <n v="1.98"/>
    <n v="7.44"/>
    <n v="7.05"/>
    <n v="2.2599999999999998"/>
    <n v="217.94"/>
    <x v="2"/>
    <x v="0"/>
  </r>
  <r>
    <n v="667"/>
    <x v="48"/>
    <s v="C1044"/>
    <x v="4"/>
    <x v="0"/>
    <n v="2"/>
    <n v="120"/>
    <n v="240"/>
    <n v="50"/>
    <n v="100"/>
    <n v="140"/>
    <x v="1"/>
    <x v="4"/>
    <x v="5"/>
    <n v="15.49"/>
    <n v="34.700000000000003"/>
    <n v="5.18"/>
    <n v="18.149999999999999"/>
    <n v="2.72"/>
    <n v="14.64"/>
    <n v="2.83"/>
    <n v="0.68"/>
    <n v="45.61"/>
    <x v="0"/>
    <x v="1"/>
  </r>
  <r>
    <n v="668"/>
    <x v="53"/>
    <s v="C1035"/>
    <x v="5"/>
    <x v="0"/>
    <n v="1"/>
    <n v="250"/>
    <n v="250"/>
    <n v="110"/>
    <n v="110"/>
    <n v="140"/>
    <x v="2"/>
    <x v="4"/>
    <x v="0"/>
    <n v="24.3"/>
    <n v="59.37"/>
    <n v="8"/>
    <n v="23.78"/>
    <n v="1.1599999999999999"/>
    <n v="6.24"/>
    <n v="3.37"/>
    <n v="1.88"/>
    <n v="11.9"/>
    <x v="0"/>
    <x v="0"/>
  </r>
  <r>
    <n v="669"/>
    <x v="28"/>
    <s v="C1214"/>
    <x v="7"/>
    <x v="2"/>
    <n v="3"/>
    <n v="150"/>
    <n v="450"/>
    <n v="70"/>
    <n v="210"/>
    <n v="240"/>
    <x v="3"/>
    <x v="1"/>
    <x v="0"/>
    <n v="23.96"/>
    <n v="15.05"/>
    <n v="15.4"/>
    <n v="5.98"/>
    <n v="2.87"/>
    <n v="7.53"/>
    <n v="7.68"/>
    <n v="2.5"/>
    <n v="159.03"/>
    <x v="1"/>
    <x v="1"/>
  </r>
  <r>
    <n v="670"/>
    <x v="176"/>
    <s v="C1340"/>
    <x v="5"/>
    <x v="0"/>
    <n v="4"/>
    <n v="250"/>
    <n v="1000"/>
    <n v="110"/>
    <n v="440"/>
    <n v="560"/>
    <x v="3"/>
    <x v="1"/>
    <x v="0"/>
    <n v="20.100000000000001"/>
    <n v="16.86"/>
    <n v="10.050000000000001"/>
    <n v="25.6"/>
    <n v="4.4000000000000004"/>
    <n v="9.6999999999999993"/>
    <n v="7.46"/>
    <n v="0.56999999999999995"/>
    <n v="465.26"/>
    <x v="1"/>
    <x v="0"/>
  </r>
  <r>
    <n v="671"/>
    <x v="106"/>
    <s v="C1095"/>
    <x v="6"/>
    <x v="0"/>
    <n v="2"/>
    <n v="180"/>
    <n v="360"/>
    <n v="75"/>
    <n v="150"/>
    <n v="210"/>
    <x v="2"/>
    <x v="1"/>
    <x v="4"/>
    <n v="30.17"/>
    <n v="30.32"/>
    <n v="18.13"/>
    <n v="17.27"/>
    <n v="2.54"/>
    <n v="2.2599999999999998"/>
    <n v="5.23"/>
    <n v="0.6"/>
    <n v="103.48"/>
    <x v="2"/>
    <x v="1"/>
  </r>
  <r>
    <n v="672"/>
    <x v="107"/>
    <s v="C1026"/>
    <x v="4"/>
    <x v="0"/>
    <n v="2"/>
    <n v="120"/>
    <n v="240"/>
    <n v="50"/>
    <n v="100"/>
    <n v="140"/>
    <x v="3"/>
    <x v="2"/>
    <x v="4"/>
    <n v="24.12"/>
    <n v="43.12"/>
    <n v="10.66"/>
    <n v="1.56"/>
    <n v="1.63"/>
    <n v="10.5"/>
    <n v="7.91"/>
    <n v="1.1100000000000001"/>
    <n v="39.39"/>
    <x v="2"/>
    <x v="0"/>
  </r>
  <r>
    <n v="673"/>
    <x v="18"/>
    <s v="C1269"/>
    <x v="2"/>
    <x v="1"/>
    <n v="3"/>
    <n v="80"/>
    <n v="240"/>
    <n v="30"/>
    <n v="90"/>
    <n v="150"/>
    <x v="4"/>
    <x v="3"/>
    <x v="4"/>
    <n v="30.01"/>
    <n v="16.190000000000001"/>
    <n v="18.11"/>
    <n v="7.16"/>
    <n v="2.23"/>
    <n v="8.6300000000000008"/>
    <n v="1.04"/>
    <n v="1.02"/>
    <n v="65.61"/>
    <x v="0"/>
    <x v="0"/>
  </r>
  <r>
    <n v="674"/>
    <x v="92"/>
    <s v="C1059"/>
    <x v="6"/>
    <x v="0"/>
    <n v="1"/>
    <n v="180"/>
    <n v="180"/>
    <n v="75"/>
    <n v="75"/>
    <n v="105"/>
    <x v="2"/>
    <x v="4"/>
    <x v="5"/>
    <n v="20.8"/>
    <n v="35.89"/>
    <n v="19.170000000000002"/>
    <n v="18.47"/>
    <n v="2.98"/>
    <n v="6.62"/>
    <n v="2.16"/>
    <n v="0.42"/>
    <n v="-1.51"/>
    <x v="2"/>
    <x v="0"/>
  </r>
  <r>
    <n v="675"/>
    <x v="145"/>
    <s v="C1223"/>
    <x v="7"/>
    <x v="2"/>
    <n v="4"/>
    <n v="150"/>
    <n v="600"/>
    <n v="70"/>
    <n v="280"/>
    <n v="320"/>
    <x v="4"/>
    <x v="1"/>
    <x v="0"/>
    <n v="35.9"/>
    <n v="37.729999999999997"/>
    <n v="7.89"/>
    <n v="23.68"/>
    <n v="3.09"/>
    <n v="3"/>
    <n v="1.84"/>
    <n v="0.83"/>
    <n v="206.04"/>
    <x v="0"/>
    <x v="0"/>
  </r>
  <r>
    <n v="676"/>
    <x v="137"/>
    <s v="C1336"/>
    <x v="1"/>
    <x v="0"/>
    <n v="3"/>
    <n v="220"/>
    <n v="660"/>
    <n v="100"/>
    <n v="300"/>
    <n v="360"/>
    <x v="1"/>
    <x v="4"/>
    <x v="3"/>
    <n v="19.829999999999998"/>
    <n v="28.01"/>
    <n v="11.48"/>
    <n v="4.16"/>
    <n v="4.67"/>
    <n v="6.83"/>
    <n v="4.05"/>
    <n v="1.31"/>
    <n v="279.66000000000003"/>
    <x v="2"/>
    <x v="0"/>
  </r>
  <r>
    <n v="677"/>
    <x v="166"/>
    <s v="C1301"/>
    <x v="0"/>
    <x v="0"/>
    <n v="1"/>
    <n v="200"/>
    <n v="200"/>
    <n v="90"/>
    <n v="90"/>
    <n v="110"/>
    <x v="2"/>
    <x v="2"/>
    <x v="3"/>
    <n v="14.07"/>
    <n v="37.92"/>
    <n v="16.829999999999998"/>
    <n v="26.74"/>
    <n v="1.6"/>
    <n v="14.97"/>
    <n v="7"/>
    <n v="0.9"/>
    <n v="-10.029999999999999"/>
    <x v="2"/>
    <x v="1"/>
  </r>
  <r>
    <n v="678"/>
    <x v="155"/>
    <s v="C1070"/>
    <x v="3"/>
    <x v="2"/>
    <n v="4"/>
    <n v="180"/>
    <n v="720"/>
    <n v="90"/>
    <n v="360"/>
    <n v="360"/>
    <x v="1"/>
    <x v="3"/>
    <x v="3"/>
    <n v="26.63"/>
    <n v="32.409999999999997"/>
    <n v="10.220000000000001"/>
    <n v="0.11"/>
    <n v="0.61"/>
    <n v="8.85"/>
    <n v="1.8"/>
    <n v="2.29"/>
    <n v="277.08"/>
    <x v="1"/>
    <x v="0"/>
  </r>
  <r>
    <n v="679"/>
    <x v="18"/>
    <s v="C1209"/>
    <x v="1"/>
    <x v="0"/>
    <n v="1"/>
    <n v="220"/>
    <n v="220"/>
    <n v="100"/>
    <n v="100"/>
    <n v="120"/>
    <x v="2"/>
    <x v="4"/>
    <x v="0"/>
    <n v="39.18"/>
    <n v="43.24"/>
    <n v="15.11"/>
    <n v="19.78"/>
    <n v="4.01"/>
    <n v="12.26"/>
    <n v="7.21"/>
    <n v="0.59"/>
    <n v="-21.38"/>
    <x v="2"/>
    <x v="1"/>
  </r>
  <r>
    <n v="680"/>
    <x v="123"/>
    <s v="C1144"/>
    <x v="0"/>
    <x v="0"/>
    <n v="1"/>
    <n v="200"/>
    <n v="200"/>
    <n v="90"/>
    <n v="90"/>
    <n v="110"/>
    <x v="0"/>
    <x v="1"/>
    <x v="5"/>
    <n v="23.21"/>
    <n v="52.76"/>
    <n v="11.39"/>
    <n v="3.47"/>
    <n v="3.65"/>
    <n v="6.58"/>
    <n v="1.07"/>
    <n v="0.37"/>
    <n v="7.5"/>
    <x v="1"/>
    <x v="1"/>
  </r>
  <r>
    <n v="681"/>
    <x v="10"/>
    <s v="C1325"/>
    <x v="2"/>
    <x v="1"/>
    <n v="1"/>
    <n v="80"/>
    <n v="80"/>
    <n v="30"/>
    <n v="30"/>
    <n v="50"/>
    <x v="2"/>
    <x v="1"/>
    <x v="4"/>
    <n v="32.78"/>
    <n v="27.65"/>
    <n v="15.34"/>
    <n v="34.340000000000003"/>
    <n v="1.53"/>
    <n v="7.4"/>
    <n v="7.32"/>
    <n v="1.75"/>
    <n v="-78.11"/>
    <x v="0"/>
    <x v="0"/>
  </r>
  <r>
    <n v="682"/>
    <x v="96"/>
    <s v="C1242"/>
    <x v="5"/>
    <x v="0"/>
    <n v="2"/>
    <n v="250"/>
    <n v="500"/>
    <n v="110"/>
    <n v="220"/>
    <n v="280"/>
    <x v="3"/>
    <x v="1"/>
    <x v="1"/>
    <n v="38.81"/>
    <n v="18.82"/>
    <n v="15.81"/>
    <n v="13.62"/>
    <n v="2.93"/>
    <n v="5.03"/>
    <n v="6.39"/>
    <n v="2.63"/>
    <n v="175.96"/>
    <x v="2"/>
    <x v="0"/>
  </r>
  <r>
    <n v="683"/>
    <x v="20"/>
    <s v="C1316"/>
    <x v="2"/>
    <x v="1"/>
    <n v="4"/>
    <n v="80"/>
    <n v="320"/>
    <n v="30"/>
    <n v="120"/>
    <n v="200"/>
    <x v="4"/>
    <x v="1"/>
    <x v="2"/>
    <n v="14.43"/>
    <n v="49.34"/>
    <n v="11.05"/>
    <n v="26.44"/>
    <n v="2.35"/>
    <n v="5.76"/>
    <n v="5.58"/>
    <n v="2.71"/>
    <n v="82.34"/>
    <x v="0"/>
    <x v="0"/>
  </r>
  <r>
    <n v="684"/>
    <x v="141"/>
    <s v="C1102"/>
    <x v="3"/>
    <x v="2"/>
    <n v="4"/>
    <n v="180"/>
    <n v="720"/>
    <n v="90"/>
    <n v="360"/>
    <n v="360"/>
    <x v="1"/>
    <x v="4"/>
    <x v="5"/>
    <n v="20.059999999999999"/>
    <n v="55.04"/>
    <n v="10.28"/>
    <n v="33.69"/>
    <n v="2.35"/>
    <n v="6.06"/>
    <n v="1.02"/>
    <n v="2.57"/>
    <n v="228.93"/>
    <x v="2"/>
    <x v="1"/>
  </r>
  <r>
    <n v="685"/>
    <x v="75"/>
    <s v="C1040"/>
    <x v="4"/>
    <x v="0"/>
    <n v="1"/>
    <n v="120"/>
    <n v="120"/>
    <n v="50"/>
    <n v="50"/>
    <n v="70"/>
    <x v="0"/>
    <x v="3"/>
    <x v="4"/>
    <n v="36.909999999999997"/>
    <n v="42.31"/>
    <n v="11.89"/>
    <n v="33.880000000000003"/>
    <n v="3.24"/>
    <n v="9.81"/>
    <n v="7.71"/>
    <n v="2.44"/>
    <n v="-78.19"/>
    <x v="2"/>
    <x v="0"/>
  </r>
  <r>
    <n v="686"/>
    <x v="14"/>
    <s v="C1284"/>
    <x v="2"/>
    <x v="1"/>
    <n v="4"/>
    <n v="80"/>
    <n v="320"/>
    <n v="30"/>
    <n v="120"/>
    <n v="200"/>
    <x v="0"/>
    <x v="4"/>
    <x v="4"/>
    <n v="28.82"/>
    <n v="43.71"/>
    <n v="10.050000000000001"/>
    <n v="27.1"/>
    <n v="1.17"/>
    <n v="13.6"/>
    <n v="5.12"/>
    <n v="2.41"/>
    <n v="68.02"/>
    <x v="1"/>
    <x v="1"/>
  </r>
  <r>
    <n v="687"/>
    <x v="177"/>
    <s v="C1119"/>
    <x v="5"/>
    <x v="0"/>
    <n v="3"/>
    <n v="250"/>
    <n v="750"/>
    <n v="110"/>
    <n v="330"/>
    <n v="420"/>
    <x v="0"/>
    <x v="0"/>
    <x v="3"/>
    <n v="30.35"/>
    <n v="47.91"/>
    <n v="8.5500000000000007"/>
    <n v="4.4000000000000004"/>
    <n v="2.27"/>
    <n v="8.1999999999999993"/>
    <n v="7.07"/>
    <n v="2.36"/>
    <n v="308.89"/>
    <x v="2"/>
    <x v="1"/>
  </r>
  <r>
    <n v="688"/>
    <x v="153"/>
    <s v="C1261"/>
    <x v="5"/>
    <x v="0"/>
    <n v="3"/>
    <n v="250"/>
    <n v="750"/>
    <n v="110"/>
    <n v="330"/>
    <n v="420"/>
    <x v="1"/>
    <x v="3"/>
    <x v="4"/>
    <n v="26.26"/>
    <n v="53.16"/>
    <n v="12.43"/>
    <n v="16.68"/>
    <n v="3.19"/>
    <n v="12.14"/>
    <n v="4.01"/>
    <n v="2.65"/>
    <n v="289.48"/>
    <x v="1"/>
    <x v="0"/>
  </r>
  <r>
    <n v="689"/>
    <x v="70"/>
    <s v="C1139"/>
    <x v="6"/>
    <x v="0"/>
    <n v="1"/>
    <n v="180"/>
    <n v="180"/>
    <n v="75"/>
    <n v="75"/>
    <n v="105"/>
    <x v="4"/>
    <x v="0"/>
    <x v="4"/>
    <n v="17.43"/>
    <n v="34.53"/>
    <n v="18.68"/>
    <n v="14.49"/>
    <n v="0.56999999999999995"/>
    <n v="3.06"/>
    <n v="5.27"/>
    <n v="2.5"/>
    <n v="8.4700000000000006"/>
    <x v="1"/>
    <x v="0"/>
  </r>
  <r>
    <n v="690"/>
    <x v="84"/>
    <s v="C1333"/>
    <x v="7"/>
    <x v="2"/>
    <n v="2"/>
    <n v="150"/>
    <n v="300"/>
    <n v="70"/>
    <n v="140"/>
    <n v="160"/>
    <x v="0"/>
    <x v="1"/>
    <x v="5"/>
    <n v="16.989999999999998"/>
    <n v="46.68"/>
    <n v="9.17"/>
    <n v="11.86"/>
    <n v="3.7"/>
    <n v="2.19"/>
    <n v="3.36"/>
    <n v="2.1800000000000002"/>
    <n v="63.87"/>
    <x v="2"/>
    <x v="0"/>
  </r>
  <r>
    <n v="691"/>
    <x v="139"/>
    <s v="C1139"/>
    <x v="7"/>
    <x v="2"/>
    <n v="3"/>
    <n v="150"/>
    <n v="450"/>
    <n v="70"/>
    <n v="210"/>
    <n v="240"/>
    <x v="2"/>
    <x v="2"/>
    <x v="3"/>
    <n v="24.5"/>
    <n v="59.29"/>
    <n v="9.5"/>
    <n v="0.05"/>
    <n v="1.99"/>
    <n v="9.94"/>
    <n v="2.17"/>
    <n v="2.78"/>
    <n v="129.78"/>
    <x v="1"/>
    <x v="0"/>
  </r>
  <r>
    <n v="692"/>
    <x v="5"/>
    <s v="C1181"/>
    <x v="0"/>
    <x v="0"/>
    <n v="1"/>
    <n v="200"/>
    <n v="200"/>
    <n v="90"/>
    <n v="90"/>
    <n v="110"/>
    <x v="2"/>
    <x v="3"/>
    <x v="4"/>
    <n v="29.55"/>
    <n v="18.05"/>
    <n v="7.06"/>
    <n v="21.28"/>
    <n v="4.03"/>
    <n v="7.22"/>
    <n v="4.1399999999999997"/>
    <n v="1.99"/>
    <n v="16.68"/>
    <x v="1"/>
    <x v="1"/>
  </r>
  <r>
    <n v="693"/>
    <x v="165"/>
    <s v="C1274"/>
    <x v="1"/>
    <x v="0"/>
    <n v="3"/>
    <n v="220"/>
    <n v="660"/>
    <n v="100"/>
    <n v="300"/>
    <n v="360"/>
    <x v="0"/>
    <x v="2"/>
    <x v="2"/>
    <n v="25.41"/>
    <n v="46.45"/>
    <n v="7.96"/>
    <n v="8.85"/>
    <n v="4.1399999999999997"/>
    <n v="8.3800000000000008"/>
    <n v="7.83"/>
    <n v="1.93"/>
    <n v="249.05"/>
    <x v="2"/>
    <x v="0"/>
  </r>
  <r>
    <n v="694"/>
    <x v="147"/>
    <s v="C1211"/>
    <x v="3"/>
    <x v="2"/>
    <n v="3"/>
    <n v="180"/>
    <n v="540"/>
    <n v="90"/>
    <n v="270"/>
    <n v="270"/>
    <x v="2"/>
    <x v="1"/>
    <x v="1"/>
    <n v="38.979999999999997"/>
    <n v="55.46"/>
    <n v="16.850000000000001"/>
    <n v="23.56"/>
    <n v="1.41"/>
    <n v="14.66"/>
    <n v="2.42"/>
    <n v="2.57"/>
    <n v="114.09"/>
    <x v="0"/>
    <x v="1"/>
  </r>
  <r>
    <n v="695"/>
    <x v="165"/>
    <s v="C1209"/>
    <x v="6"/>
    <x v="0"/>
    <n v="2"/>
    <n v="180"/>
    <n v="360"/>
    <n v="75"/>
    <n v="150"/>
    <n v="210"/>
    <x v="4"/>
    <x v="1"/>
    <x v="4"/>
    <n v="17.22"/>
    <n v="55.47"/>
    <n v="5.49"/>
    <n v="10.86"/>
    <n v="2.98"/>
    <n v="2"/>
    <n v="3.87"/>
    <n v="1.87"/>
    <n v="110.24"/>
    <x v="0"/>
    <x v="0"/>
  </r>
  <r>
    <n v="696"/>
    <x v="153"/>
    <s v="C1151"/>
    <x v="3"/>
    <x v="2"/>
    <n v="2"/>
    <n v="180"/>
    <n v="360"/>
    <n v="90"/>
    <n v="180"/>
    <n v="180"/>
    <x v="1"/>
    <x v="1"/>
    <x v="1"/>
    <n v="31.66"/>
    <n v="41.65"/>
    <n v="8.5500000000000007"/>
    <n v="7.16"/>
    <n v="0.83"/>
    <n v="7.56"/>
    <n v="2.91"/>
    <n v="1.68"/>
    <n v="78"/>
    <x v="0"/>
    <x v="1"/>
  </r>
  <r>
    <n v="697"/>
    <x v="96"/>
    <s v="C1281"/>
    <x v="0"/>
    <x v="0"/>
    <n v="1"/>
    <n v="200"/>
    <n v="200"/>
    <n v="90"/>
    <n v="90"/>
    <n v="110"/>
    <x v="4"/>
    <x v="0"/>
    <x v="3"/>
    <n v="16.23"/>
    <n v="30.44"/>
    <n v="9.6999999999999993"/>
    <n v="23.17"/>
    <n v="1.23"/>
    <n v="11.15"/>
    <n v="5.68"/>
    <n v="0.91"/>
    <n v="11.49"/>
    <x v="1"/>
    <x v="1"/>
  </r>
  <r>
    <n v="698"/>
    <x v="71"/>
    <s v="C1066"/>
    <x v="4"/>
    <x v="0"/>
    <n v="4"/>
    <n v="120"/>
    <n v="480"/>
    <n v="50"/>
    <n v="200"/>
    <n v="280"/>
    <x v="2"/>
    <x v="2"/>
    <x v="2"/>
    <n v="22.86"/>
    <n v="20.21"/>
    <n v="18.170000000000002"/>
    <n v="17.88"/>
    <n v="3.86"/>
    <n v="12.46"/>
    <n v="4.05"/>
    <n v="1.22"/>
    <n v="179.29"/>
    <x v="2"/>
    <x v="0"/>
  </r>
  <r>
    <n v="699"/>
    <x v="61"/>
    <s v="C1032"/>
    <x v="0"/>
    <x v="0"/>
    <n v="2"/>
    <n v="200"/>
    <n v="400"/>
    <n v="90"/>
    <n v="180"/>
    <n v="220"/>
    <x v="2"/>
    <x v="4"/>
    <x v="1"/>
    <n v="36.869999999999997"/>
    <n v="29.86"/>
    <n v="14.44"/>
    <n v="1.51"/>
    <n v="0.76"/>
    <n v="8.7899999999999991"/>
    <n v="2.79"/>
    <n v="2.41"/>
    <n v="122.57"/>
    <x v="1"/>
    <x v="0"/>
  </r>
  <r>
    <n v="700"/>
    <x v="148"/>
    <s v="C1297"/>
    <x v="7"/>
    <x v="2"/>
    <n v="2"/>
    <n v="150"/>
    <n v="300"/>
    <n v="70"/>
    <n v="140"/>
    <n v="160"/>
    <x v="4"/>
    <x v="3"/>
    <x v="3"/>
    <n v="38.700000000000003"/>
    <n v="28.16"/>
    <n v="15.16"/>
    <n v="15.88"/>
    <n v="4.68"/>
    <n v="11.68"/>
    <n v="6.71"/>
    <n v="0.18"/>
    <n v="38.85"/>
    <x v="2"/>
    <x v="0"/>
  </r>
  <r>
    <n v="701"/>
    <x v="50"/>
    <s v="C1185"/>
    <x v="7"/>
    <x v="2"/>
    <n v="2"/>
    <n v="150"/>
    <n v="300"/>
    <n v="70"/>
    <n v="140"/>
    <n v="160"/>
    <x v="0"/>
    <x v="2"/>
    <x v="0"/>
    <n v="36.89"/>
    <n v="59.47"/>
    <n v="6.84"/>
    <n v="22.52"/>
    <n v="3.12"/>
    <n v="11.62"/>
    <n v="1.34"/>
    <n v="1.59"/>
    <n v="16.61"/>
    <x v="0"/>
    <x v="0"/>
  </r>
  <r>
    <n v="702"/>
    <x v="170"/>
    <s v="C1257"/>
    <x v="0"/>
    <x v="0"/>
    <n v="1"/>
    <n v="200"/>
    <n v="200"/>
    <n v="90"/>
    <n v="90"/>
    <n v="110"/>
    <x v="2"/>
    <x v="1"/>
    <x v="5"/>
    <n v="30.81"/>
    <n v="43.79"/>
    <n v="17.68"/>
    <n v="26.5"/>
    <n v="0.42"/>
    <n v="4.41"/>
    <n v="2.2999999999999998"/>
    <n v="1.84"/>
    <n v="-17.75"/>
    <x v="2"/>
    <x v="0"/>
  </r>
  <r>
    <n v="703"/>
    <x v="143"/>
    <s v="C1328"/>
    <x v="2"/>
    <x v="1"/>
    <n v="3"/>
    <n v="80"/>
    <n v="240"/>
    <n v="30"/>
    <n v="90"/>
    <n v="150"/>
    <x v="0"/>
    <x v="1"/>
    <x v="1"/>
    <n v="18.010000000000002"/>
    <n v="25.62"/>
    <n v="8.8000000000000007"/>
    <n v="4.83"/>
    <n v="4.7699999999999996"/>
    <n v="14.51"/>
    <n v="4.1500000000000004"/>
    <n v="2.19"/>
    <n v="67.12"/>
    <x v="0"/>
    <x v="0"/>
  </r>
  <r>
    <n v="704"/>
    <x v="2"/>
    <s v="C1159"/>
    <x v="1"/>
    <x v="0"/>
    <n v="3"/>
    <n v="220"/>
    <n v="660"/>
    <n v="100"/>
    <n v="300"/>
    <n v="360"/>
    <x v="4"/>
    <x v="2"/>
    <x v="5"/>
    <n v="36.770000000000003"/>
    <n v="26.6"/>
    <n v="8.3800000000000008"/>
    <n v="6.5"/>
    <n v="2.1800000000000002"/>
    <n v="10.44"/>
    <n v="6.39"/>
    <n v="2.2400000000000002"/>
    <n v="260.5"/>
    <x v="0"/>
    <x v="1"/>
  </r>
  <r>
    <n v="705"/>
    <x v="127"/>
    <s v="C1063"/>
    <x v="4"/>
    <x v="0"/>
    <n v="3"/>
    <n v="120"/>
    <n v="360"/>
    <n v="50"/>
    <n v="150"/>
    <n v="210"/>
    <x v="0"/>
    <x v="1"/>
    <x v="3"/>
    <n v="18.829999999999998"/>
    <n v="51.7"/>
    <n v="16.8"/>
    <n v="5.96"/>
    <n v="4.63"/>
    <n v="4.3"/>
    <n v="1.87"/>
    <n v="1.98"/>
    <n v="103.93"/>
    <x v="0"/>
    <x v="1"/>
  </r>
  <r>
    <n v="706"/>
    <x v="56"/>
    <s v="C1270"/>
    <x v="6"/>
    <x v="0"/>
    <n v="1"/>
    <n v="180"/>
    <n v="180"/>
    <n v="75"/>
    <n v="75"/>
    <n v="105"/>
    <x v="4"/>
    <x v="0"/>
    <x v="0"/>
    <n v="18.79"/>
    <n v="23.76"/>
    <n v="17.55"/>
    <n v="15.59"/>
    <n v="1.1100000000000001"/>
    <n v="7.8"/>
    <n v="7.51"/>
    <n v="0.49"/>
    <n v="12.4"/>
    <x v="0"/>
    <x v="1"/>
  </r>
  <r>
    <n v="707"/>
    <x v="144"/>
    <s v="C1283"/>
    <x v="3"/>
    <x v="2"/>
    <n v="3"/>
    <n v="180"/>
    <n v="540"/>
    <n v="90"/>
    <n v="270"/>
    <n v="270"/>
    <x v="4"/>
    <x v="2"/>
    <x v="3"/>
    <n v="39.01"/>
    <n v="56.56"/>
    <n v="11.79"/>
    <n v="0.6"/>
    <n v="4.17"/>
    <n v="11.82"/>
    <n v="1.18"/>
    <n v="2.14"/>
    <n v="142.72999999999999"/>
    <x v="0"/>
    <x v="1"/>
  </r>
  <r>
    <n v="708"/>
    <x v="15"/>
    <s v="C1234"/>
    <x v="3"/>
    <x v="2"/>
    <n v="3"/>
    <n v="180"/>
    <n v="540"/>
    <n v="90"/>
    <n v="270"/>
    <n v="270"/>
    <x v="4"/>
    <x v="2"/>
    <x v="4"/>
    <n v="15.4"/>
    <n v="15.2"/>
    <n v="6.45"/>
    <n v="32.68"/>
    <n v="2.78"/>
    <n v="7.68"/>
    <n v="2.35"/>
    <n v="0.92"/>
    <n v="186.54"/>
    <x v="2"/>
    <x v="1"/>
  </r>
  <r>
    <n v="709"/>
    <x v="151"/>
    <s v="C1007"/>
    <x v="3"/>
    <x v="2"/>
    <n v="2"/>
    <n v="180"/>
    <n v="360"/>
    <n v="90"/>
    <n v="180"/>
    <n v="180"/>
    <x v="1"/>
    <x v="2"/>
    <x v="4"/>
    <n v="24.19"/>
    <n v="51.15"/>
    <n v="17.45"/>
    <n v="26.2"/>
    <n v="2.5"/>
    <n v="2.62"/>
    <n v="4.97"/>
    <n v="1.67"/>
    <n v="49.25"/>
    <x v="2"/>
    <x v="0"/>
  </r>
  <r>
    <n v="710"/>
    <x v="75"/>
    <s v="C1233"/>
    <x v="5"/>
    <x v="0"/>
    <n v="1"/>
    <n v="250"/>
    <n v="250"/>
    <n v="110"/>
    <n v="110"/>
    <n v="140"/>
    <x v="3"/>
    <x v="2"/>
    <x v="4"/>
    <n v="17.690000000000001"/>
    <n v="50.38"/>
    <n v="13.06"/>
    <n v="16.600000000000001"/>
    <n v="4.4000000000000004"/>
    <n v="2.2000000000000002"/>
    <n v="4.12"/>
    <n v="1.73"/>
    <n v="29.82"/>
    <x v="1"/>
    <x v="0"/>
  </r>
  <r>
    <n v="711"/>
    <x v="111"/>
    <s v="C1106"/>
    <x v="3"/>
    <x v="2"/>
    <n v="3"/>
    <n v="180"/>
    <n v="540"/>
    <n v="90"/>
    <n v="270"/>
    <n v="270"/>
    <x v="3"/>
    <x v="1"/>
    <x v="3"/>
    <n v="20.5"/>
    <n v="32.700000000000003"/>
    <n v="18.57"/>
    <n v="1.66"/>
    <n v="2.71"/>
    <n v="5.4"/>
    <n v="1.95"/>
    <n v="1.2"/>
    <n v="185.31"/>
    <x v="2"/>
    <x v="1"/>
  </r>
  <r>
    <n v="712"/>
    <x v="1"/>
    <s v="C1299"/>
    <x v="4"/>
    <x v="0"/>
    <n v="1"/>
    <n v="120"/>
    <n v="120"/>
    <n v="50"/>
    <n v="50"/>
    <n v="70"/>
    <x v="0"/>
    <x v="3"/>
    <x v="3"/>
    <n v="23.74"/>
    <n v="30.97"/>
    <n v="9.4700000000000006"/>
    <n v="7.21"/>
    <n v="4.72"/>
    <n v="7.46"/>
    <n v="1.0900000000000001"/>
    <n v="2.11"/>
    <n v="-16.77"/>
    <x v="1"/>
    <x v="0"/>
  </r>
  <r>
    <n v="713"/>
    <x v="62"/>
    <s v="C1025"/>
    <x v="2"/>
    <x v="1"/>
    <n v="1"/>
    <n v="80"/>
    <n v="80"/>
    <n v="30"/>
    <n v="30"/>
    <n v="50"/>
    <x v="2"/>
    <x v="4"/>
    <x v="5"/>
    <n v="22.6"/>
    <n v="16.45"/>
    <n v="10.47"/>
    <n v="15.82"/>
    <n v="2.75"/>
    <n v="10.89"/>
    <n v="5.0999999999999996"/>
    <n v="0.8"/>
    <n v="-34.880000000000003"/>
    <x v="0"/>
    <x v="1"/>
  </r>
  <r>
    <n v="714"/>
    <x v="162"/>
    <s v="C1077"/>
    <x v="3"/>
    <x v="2"/>
    <n v="2"/>
    <n v="180"/>
    <n v="360"/>
    <n v="90"/>
    <n v="180"/>
    <n v="180"/>
    <x v="0"/>
    <x v="0"/>
    <x v="3"/>
    <n v="22.4"/>
    <n v="51.55"/>
    <n v="10.91"/>
    <n v="20.059999999999999"/>
    <n v="4.3099999999999996"/>
    <n v="5.0599999999999996"/>
    <n v="7.36"/>
    <n v="1.2"/>
    <n v="57.15"/>
    <x v="1"/>
    <x v="0"/>
  </r>
  <r>
    <n v="715"/>
    <x v="82"/>
    <s v="C1258"/>
    <x v="2"/>
    <x v="1"/>
    <n v="2"/>
    <n v="80"/>
    <n v="160"/>
    <n v="30"/>
    <n v="60"/>
    <n v="100"/>
    <x v="3"/>
    <x v="1"/>
    <x v="4"/>
    <n v="19.91"/>
    <n v="39.56"/>
    <n v="5.18"/>
    <n v="17.22"/>
    <n v="3.69"/>
    <n v="5.3"/>
    <n v="2.4900000000000002"/>
    <n v="0.72"/>
    <n v="5.93"/>
    <x v="1"/>
    <x v="1"/>
  </r>
  <r>
    <n v="716"/>
    <x v="87"/>
    <s v="C1134"/>
    <x v="4"/>
    <x v="0"/>
    <n v="3"/>
    <n v="120"/>
    <n v="360"/>
    <n v="50"/>
    <n v="150"/>
    <n v="210"/>
    <x v="4"/>
    <x v="1"/>
    <x v="0"/>
    <n v="33.35"/>
    <n v="28.72"/>
    <n v="11.62"/>
    <n v="22.65"/>
    <n v="4.42"/>
    <n v="11.35"/>
    <n v="2.44"/>
    <n v="2.54"/>
    <n v="92.91"/>
    <x v="0"/>
    <x v="1"/>
  </r>
  <r>
    <n v="717"/>
    <x v="121"/>
    <s v="C1088"/>
    <x v="0"/>
    <x v="0"/>
    <n v="2"/>
    <n v="200"/>
    <n v="400"/>
    <n v="90"/>
    <n v="180"/>
    <n v="220"/>
    <x v="1"/>
    <x v="1"/>
    <x v="3"/>
    <n v="24.55"/>
    <n v="21.56"/>
    <n v="6.14"/>
    <n v="12.78"/>
    <n v="1.29"/>
    <n v="11.2"/>
    <n v="3.47"/>
    <n v="0.9"/>
    <n v="138.11000000000001"/>
    <x v="2"/>
    <x v="1"/>
  </r>
  <r>
    <n v="718"/>
    <x v="116"/>
    <s v="C1032"/>
    <x v="4"/>
    <x v="0"/>
    <n v="2"/>
    <n v="120"/>
    <n v="240"/>
    <n v="50"/>
    <n v="100"/>
    <n v="140"/>
    <x v="0"/>
    <x v="0"/>
    <x v="2"/>
    <n v="24.32"/>
    <n v="28.46"/>
    <n v="9.98"/>
    <n v="17.940000000000001"/>
    <n v="1.45"/>
    <n v="7.91"/>
    <n v="4.04"/>
    <n v="2.11"/>
    <n v="43.79"/>
    <x v="1"/>
    <x v="1"/>
  </r>
  <r>
    <n v="719"/>
    <x v="178"/>
    <s v="C1219"/>
    <x v="1"/>
    <x v="0"/>
    <n v="2"/>
    <n v="220"/>
    <n v="440"/>
    <n v="100"/>
    <n v="200"/>
    <n v="240"/>
    <x v="4"/>
    <x v="1"/>
    <x v="4"/>
    <n v="37.380000000000003"/>
    <n v="31.71"/>
    <n v="11.46"/>
    <n v="17.52"/>
    <n v="3.75"/>
    <n v="7.55"/>
    <n v="7.47"/>
    <n v="0.69"/>
    <n v="122.47"/>
    <x v="2"/>
    <x v="1"/>
  </r>
  <r>
    <n v="720"/>
    <x v="131"/>
    <s v="C1181"/>
    <x v="6"/>
    <x v="0"/>
    <n v="3"/>
    <n v="180"/>
    <n v="540"/>
    <n v="75"/>
    <n v="225"/>
    <n v="315"/>
    <x v="1"/>
    <x v="2"/>
    <x v="2"/>
    <n v="38.799999999999997"/>
    <n v="44.21"/>
    <n v="16.29"/>
    <n v="28.54"/>
    <n v="4.54"/>
    <n v="9.35"/>
    <n v="4.93"/>
    <n v="2.54"/>
    <n v="165.8"/>
    <x v="0"/>
    <x v="1"/>
  </r>
  <r>
    <n v="721"/>
    <x v="21"/>
    <s v="C1089"/>
    <x v="2"/>
    <x v="1"/>
    <n v="1"/>
    <n v="80"/>
    <n v="80"/>
    <n v="30"/>
    <n v="30"/>
    <n v="50"/>
    <x v="2"/>
    <x v="0"/>
    <x v="2"/>
    <n v="22.89"/>
    <n v="21.67"/>
    <n v="10.1"/>
    <n v="13.81"/>
    <n v="4.3899999999999997"/>
    <n v="11.14"/>
    <n v="3.36"/>
    <n v="0.24"/>
    <n v="-37.6"/>
    <x v="1"/>
    <x v="1"/>
  </r>
  <r>
    <n v="722"/>
    <x v="31"/>
    <s v="C1290"/>
    <x v="7"/>
    <x v="2"/>
    <n v="1"/>
    <n v="150"/>
    <n v="150"/>
    <n v="70"/>
    <n v="70"/>
    <n v="80"/>
    <x v="1"/>
    <x v="2"/>
    <x v="4"/>
    <n v="20.11"/>
    <n v="58.32"/>
    <n v="14.45"/>
    <n v="1.38"/>
    <n v="3.41"/>
    <n v="8.6199999999999992"/>
    <n v="2.66"/>
    <n v="2.91"/>
    <n v="-31.86"/>
    <x v="2"/>
    <x v="0"/>
  </r>
  <r>
    <n v="723"/>
    <x v="146"/>
    <s v="C1206"/>
    <x v="5"/>
    <x v="0"/>
    <n v="1"/>
    <n v="250"/>
    <n v="250"/>
    <n v="110"/>
    <n v="110"/>
    <n v="140"/>
    <x v="4"/>
    <x v="0"/>
    <x v="1"/>
    <n v="29.9"/>
    <n v="33.799999999999997"/>
    <n v="18.18"/>
    <n v="22.64"/>
    <n v="0.1"/>
    <n v="7.91"/>
    <n v="2.21"/>
    <n v="1.18"/>
    <n v="24.08"/>
    <x v="1"/>
    <x v="0"/>
  </r>
  <r>
    <n v="724"/>
    <x v="159"/>
    <s v="C1104"/>
    <x v="1"/>
    <x v="0"/>
    <n v="4"/>
    <n v="220"/>
    <n v="880"/>
    <n v="100"/>
    <n v="400"/>
    <n v="480"/>
    <x v="4"/>
    <x v="2"/>
    <x v="0"/>
    <n v="19.72"/>
    <n v="21.4"/>
    <n v="8.92"/>
    <n v="23.21"/>
    <n v="1.73"/>
    <n v="2.72"/>
    <n v="4.16"/>
    <n v="1.89"/>
    <n v="396.25"/>
    <x v="2"/>
    <x v="1"/>
  </r>
  <r>
    <n v="725"/>
    <x v="58"/>
    <s v="C1052"/>
    <x v="5"/>
    <x v="0"/>
    <n v="3"/>
    <n v="250"/>
    <n v="750"/>
    <n v="110"/>
    <n v="330"/>
    <n v="420"/>
    <x v="0"/>
    <x v="3"/>
    <x v="5"/>
    <n v="28.75"/>
    <n v="26.64"/>
    <n v="13.19"/>
    <n v="4.6500000000000004"/>
    <n v="1.57"/>
    <n v="8.5399999999999991"/>
    <n v="5.6"/>
    <n v="0.06"/>
    <n v="331"/>
    <x v="0"/>
    <x v="1"/>
  </r>
  <r>
    <n v="726"/>
    <x v="75"/>
    <s v="C1144"/>
    <x v="7"/>
    <x v="2"/>
    <n v="4"/>
    <n v="150"/>
    <n v="600"/>
    <n v="70"/>
    <n v="280"/>
    <n v="320"/>
    <x v="3"/>
    <x v="1"/>
    <x v="5"/>
    <n v="11.18"/>
    <n v="49.55"/>
    <n v="18.41"/>
    <n v="16.59"/>
    <n v="3.68"/>
    <n v="6.68"/>
    <n v="2.36"/>
    <n v="0.2"/>
    <n v="211.35"/>
    <x v="1"/>
    <x v="1"/>
  </r>
  <r>
    <n v="727"/>
    <x v="17"/>
    <s v="C1197"/>
    <x v="2"/>
    <x v="1"/>
    <n v="2"/>
    <n v="80"/>
    <n v="160"/>
    <n v="30"/>
    <n v="60"/>
    <n v="100"/>
    <x v="0"/>
    <x v="0"/>
    <x v="5"/>
    <n v="32.6"/>
    <n v="25.01"/>
    <n v="19.89"/>
    <n v="33.380000000000003"/>
    <n v="1.66"/>
    <n v="5.71"/>
    <n v="4.45"/>
    <n v="0.49"/>
    <n v="-23.19"/>
    <x v="1"/>
    <x v="0"/>
  </r>
  <r>
    <n v="728"/>
    <x v="123"/>
    <s v="C1237"/>
    <x v="3"/>
    <x v="2"/>
    <n v="2"/>
    <n v="180"/>
    <n v="360"/>
    <n v="90"/>
    <n v="180"/>
    <n v="180"/>
    <x v="4"/>
    <x v="3"/>
    <x v="5"/>
    <n v="26.95"/>
    <n v="20.55"/>
    <n v="10.71"/>
    <n v="2.78"/>
    <n v="3.7"/>
    <n v="6.47"/>
    <n v="3.79"/>
    <n v="0.16"/>
    <n v="104.89"/>
    <x v="0"/>
    <x v="1"/>
  </r>
  <r>
    <n v="729"/>
    <x v="79"/>
    <s v="C1194"/>
    <x v="7"/>
    <x v="2"/>
    <n v="2"/>
    <n v="150"/>
    <n v="300"/>
    <n v="70"/>
    <n v="140"/>
    <n v="160"/>
    <x v="3"/>
    <x v="0"/>
    <x v="3"/>
    <n v="35.42"/>
    <n v="37.64"/>
    <n v="9.42"/>
    <n v="10.51"/>
    <n v="2.64"/>
    <n v="7"/>
    <n v="3.13"/>
    <n v="2.2400000000000002"/>
    <n v="52"/>
    <x v="1"/>
    <x v="0"/>
  </r>
  <r>
    <n v="730"/>
    <x v="91"/>
    <s v="C1220"/>
    <x v="5"/>
    <x v="0"/>
    <n v="2"/>
    <n v="250"/>
    <n v="500"/>
    <n v="110"/>
    <n v="220"/>
    <n v="280"/>
    <x v="1"/>
    <x v="2"/>
    <x v="0"/>
    <n v="32.85"/>
    <n v="54.57"/>
    <n v="14.95"/>
    <n v="11.67"/>
    <n v="4.9000000000000004"/>
    <n v="2.46"/>
    <n v="5.33"/>
    <n v="1.91"/>
    <n v="151.36000000000001"/>
    <x v="1"/>
    <x v="1"/>
  </r>
  <r>
    <n v="731"/>
    <x v="100"/>
    <s v="C1178"/>
    <x v="4"/>
    <x v="0"/>
    <n v="2"/>
    <n v="120"/>
    <n v="240"/>
    <n v="50"/>
    <n v="100"/>
    <n v="140"/>
    <x v="3"/>
    <x v="2"/>
    <x v="3"/>
    <n v="27.74"/>
    <n v="55.31"/>
    <n v="9.52"/>
    <n v="29.08"/>
    <n v="4.17"/>
    <n v="9.02"/>
    <n v="4.2"/>
    <n v="1.9"/>
    <n v="-0.94"/>
    <x v="1"/>
    <x v="0"/>
  </r>
  <r>
    <n v="732"/>
    <x v="174"/>
    <s v="C1103"/>
    <x v="7"/>
    <x v="2"/>
    <n v="1"/>
    <n v="150"/>
    <n v="150"/>
    <n v="70"/>
    <n v="70"/>
    <n v="80"/>
    <x v="2"/>
    <x v="4"/>
    <x v="1"/>
    <n v="37.22"/>
    <n v="59.4"/>
    <n v="16.670000000000002"/>
    <n v="13.16"/>
    <n v="1.23"/>
    <n v="13.22"/>
    <n v="4.79"/>
    <n v="1.99"/>
    <n v="-67.680000000000007"/>
    <x v="2"/>
    <x v="1"/>
  </r>
  <r>
    <n v="733"/>
    <x v="140"/>
    <s v="C1305"/>
    <x v="4"/>
    <x v="0"/>
    <n v="1"/>
    <n v="120"/>
    <n v="120"/>
    <n v="50"/>
    <n v="50"/>
    <n v="70"/>
    <x v="2"/>
    <x v="1"/>
    <x v="0"/>
    <n v="15.49"/>
    <n v="37.58"/>
    <n v="13.15"/>
    <n v="28.89"/>
    <n v="2.33"/>
    <n v="8.99"/>
    <n v="6.61"/>
    <n v="0.5"/>
    <n v="-43.54"/>
    <x v="1"/>
    <x v="0"/>
  </r>
  <r>
    <n v="734"/>
    <x v="135"/>
    <s v="C1272"/>
    <x v="5"/>
    <x v="0"/>
    <n v="1"/>
    <n v="250"/>
    <n v="250"/>
    <n v="110"/>
    <n v="110"/>
    <n v="140"/>
    <x v="2"/>
    <x v="1"/>
    <x v="1"/>
    <n v="39.130000000000003"/>
    <n v="15.72"/>
    <n v="10.87"/>
    <n v="31.8"/>
    <n v="4.41"/>
    <n v="5.22"/>
    <n v="6.69"/>
    <n v="0.28000000000000003"/>
    <n v="25.88"/>
    <x v="0"/>
    <x v="0"/>
  </r>
  <r>
    <n v="735"/>
    <x v="179"/>
    <s v="C1312"/>
    <x v="1"/>
    <x v="0"/>
    <n v="4"/>
    <n v="220"/>
    <n v="880"/>
    <n v="100"/>
    <n v="400"/>
    <n v="480"/>
    <x v="1"/>
    <x v="1"/>
    <x v="1"/>
    <n v="25.98"/>
    <n v="33.26"/>
    <n v="8.52"/>
    <n v="23.24"/>
    <n v="1.62"/>
    <n v="12.22"/>
    <n v="1.22"/>
    <n v="2.41"/>
    <n v="371.53"/>
    <x v="1"/>
    <x v="1"/>
  </r>
  <r>
    <n v="736"/>
    <x v="154"/>
    <s v="C1002"/>
    <x v="7"/>
    <x v="2"/>
    <n v="3"/>
    <n v="150"/>
    <n v="450"/>
    <n v="70"/>
    <n v="210"/>
    <n v="240"/>
    <x v="1"/>
    <x v="4"/>
    <x v="3"/>
    <n v="32.47"/>
    <n v="39.450000000000003"/>
    <n v="14.3"/>
    <n v="19.170000000000002"/>
    <n v="1.81"/>
    <n v="5.35"/>
    <n v="7.14"/>
    <n v="2.0499999999999998"/>
    <n v="118.26"/>
    <x v="0"/>
    <x v="1"/>
  </r>
  <r>
    <n v="737"/>
    <x v="43"/>
    <s v="C1084"/>
    <x v="1"/>
    <x v="0"/>
    <n v="4"/>
    <n v="220"/>
    <n v="880"/>
    <n v="100"/>
    <n v="400"/>
    <n v="480"/>
    <x v="4"/>
    <x v="2"/>
    <x v="2"/>
    <n v="18.32"/>
    <n v="57.29"/>
    <n v="6.06"/>
    <n v="31.29"/>
    <n v="4.6500000000000004"/>
    <n v="5.91"/>
    <n v="6.98"/>
    <n v="1.38"/>
    <n v="348.12"/>
    <x v="0"/>
    <x v="0"/>
  </r>
  <r>
    <n v="738"/>
    <x v="17"/>
    <s v="C1104"/>
    <x v="2"/>
    <x v="1"/>
    <n v="4"/>
    <n v="80"/>
    <n v="320"/>
    <n v="30"/>
    <n v="120"/>
    <n v="200"/>
    <x v="4"/>
    <x v="4"/>
    <x v="1"/>
    <n v="25.96"/>
    <n v="18.079999999999998"/>
    <n v="6.14"/>
    <n v="16.86"/>
    <n v="0.55000000000000004"/>
    <n v="4.8499999999999996"/>
    <n v="7.4"/>
    <n v="0.28000000000000003"/>
    <n v="119.88"/>
    <x v="2"/>
    <x v="1"/>
  </r>
  <r>
    <n v="739"/>
    <x v="124"/>
    <s v="C1148"/>
    <x v="5"/>
    <x v="0"/>
    <n v="3"/>
    <n v="250"/>
    <n v="750"/>
    <n v="110"/>
    <n v="330"/>
    <n v="420"/>
    <x v="0"/>
    <x v="1"/>
    <x v="3"/>
    <n v="32.78"/>
    <n v="42.1"/>
    <n v="14.46"/>
    <n v="30.08"/>
    <n v="1.07"/>
    <n v="10.130000000000001"/>
    <n v="3.43"/>
    <n v="1.39"/>
    <n v="284.56"/>
    <x v="0"/>
    <x v="0"/>
  </r>
  <r>
    <n v="740"/>
    <x v="160"/>
    <s v="C1072"/>
    <x v="5"/>
    <x v="0"/>
    <n v="1"/>
    <n v="250"/>
    <n v="250"/>
    <n v="110"/>
    <n v="110"/>
    <n v="140"/>
    <x v="1"/>
    <x v="3"/>
    <x v="3"/>
    <n v="40"/>
    <n v="32.01"/>
    <n v="19.62"/>
    <n v="25.22"/>
    <n v="2.9"/>
    <n v="10.89"/>
    <n v="5.83"/>
    <n v="0.5"/>
    <n v="3.03"/>
    <x v="0"/>
    <x v="1"/>
  </r>
  <r>
    <n v="741"/>
    <x v="171"/>
    <s v="C1166"/>
    <x v="2"/>
    <x v="1"/>
    <n v="1"/>
    <n v="80"/>
    <n v="80"/>
    <n v="30"/>
    <n v="30"/>
    <n v="50"/>
    <x v="4"/>
    <x v="0"/>
    <x v="0"/>
    <n v="20.69"/>
    <n v="31.04"/>
    <n v="13.69"/>
    <n v="1.1000000000000001"/>
    <n v="1.65"/>
    <n v="7.48"/>
    <n v="5.96"/>
    <n v="0.76"/>
    <n v="-32.369999999999997"/>
    <x v="1"/>
    <x v="0"/>
  </r>
  <r>
    <n v="742"/>
    <x v="70"/>
    <s v="C1211"/>
    <x v="7"/>
    <x v="2"/>
    <n v="2"/>
    <n v="150"/>
    <n v="300"/>
    <n v="70"/>
    <n v="140"/>
    <n v="160"/>
    <x v="0"/>
    <x v="2"/>
    <x v="1"/>
    <n v="27.24"/>
    <n v="23.46"/>
    <n v="8.92"/>
    <n v="27.5"/>
    <n v="2.95"/>
    <n v="10.35"/>
    <n v="1.32"/>
    <n v="1.1299999999999999"/>
    <n v="57.13"/>
    <x v="1"/>
    <x v="1"/>
  </r>
  <r>
    <n v="743"/>
    <x v="28"/>
    <s v="C1165"/>
    <x v="1"/>
    <x v="0"/>
    <n v="2"/>
    <n v="220"/>
    <n v="440"/>
    <n v="100"/>
    <n v="200"/>
    <n v="240"/>
    <x v="2"/>
    <x v="4"/>
    <x v="3"/>
    <n v="17.559999999999999"/>
    <n v="48.12"/>
    <n v="9.7100000000000009"/>
    <n v="32.68"/>
    <n v="3.47"/>
    <n v="2.15"/>
    <n v="1.19"/>
    <n v="0.91"/>
    <n v="124.21"/>
    <x v="1"/>
    <x v="1"/>
  </r>
  <r>
    <n v="744"/>
    <x v="82"/>
    <s v="C1046"/>
    <x v="4"/>
    <x v="0"/>
    <n v="2"/>
    <n v="120"/>
    <n v="240"/>
    <n v="50"/>
    <n v="100"/>
    <n v="140"/>
    <x v="3"/>
    <x v="4"/>
    <x v="4"/>
    <n v="31.72"/>
    <n v="43.76"/>
    <n v="18.78"/>
    <n v="24.76"/>
    <n v="0.26"/>
    <n v="13.95"/>
    <n v="3.18"/>
    <n v="2.2799999999999998"/>
    <n v="1.31"/>
    <x v="0"/>
    <x v="0"/>
  </r>
  <r>
    <n v="745"/>
    <x v="110"/>
    <s v="C1041"/>
    <x v="2"/>
    <x v="1"/>
    <n v="2"/>
    <n v="80"/>
    <n v="160"/>
    <n v="30"/>
    <n v="60"/>
    <n v="100"/>
    <x v="2"/>
    <x v="1"/>
    <x v="5"/>
    <n v="29.45"/>
    <n v="57.36"/>
    <n v="7.33"/>
    <n v="27.46"/>
    <n v="4.1500000000000004"/>
    <n v="14.82"/>
    <n v="1.71"/>
    <n v="1.44"/>
    <n v="-43.72"/>
    <x v="0"/>
    <x v="0"/>
  </r>
  <r>
    <n v="746"/>
    <x v="162"/>
    <s v="C1062"/>
    <x v="7"/>
    <x v="2"/>
    <n v="3"/>
    <n v="150"/>
    <n v="450"/>
    <n v="70"/>
    <n v="210"/>
    <n v="240"/>
    <x v="3"/>
    <x v="2"/>
    <x v="2"/>
    <n v="23.2"/>
    <n v="19.920000000000002"/>
    <n v="19.87"/>
    <n v="28.65"/>
    <n v="2.1800000000000002"/>
    <n v="13.99"/>
    <n v="5.86"/>
    <n v="0.72"/>
    <n v="125.61"/>
    <x v="1"/>
    <x v="0"/>
  </r>
  <r>
    <n v="747"/>
    <x v="144"/>
    <s v="C1082"/>
    <x v="3"/>
    <x v="2"/>
    <n v="1"/>
    <n v="180"/>
    <n v="180"/>
    <n v="90"/>
    <n v="90"/>
    <n v="90"/>
    <x v="4"/>
    <x v="3"/>
    <x v="5"/>
    <n v="16.41"/>
    <n v="49.94"/>
    <n v="6.63"/>
    <n v="33.119999999999997"/>
    <n v="3.34"/>
    <n v="3.72"/>
    <n v="2.79"/>
    <n v="0.01"/>
    <n v="-25.96"/>
    <x v="2"/>
    <x v="1"/>
  </r>
  <r>
    <n v="748"/>
    <x v="119"/>
    <s v="C1069"/>
    <x v="6"/>
    <x v="0"/>
    <n v="2"/>
    <n v="180"/>
    <n v="360"/>
    <n v="75"/>
    <n v="150"/>
    <n v="210"/>
    <x v="3"/>
    <x v="1"/>
    <x v="5"/>
    <n v="37.82"/>
    <n v="24.7"/>
    <n v="9.4499999999999993"/>
    <n v="22.08"/>
    <n v="4.68"/>
    <n v="8.0299999999999994"/>
    <n v="6.61"/>
    <n v="2.5"/>
    <n v="94.13"/>
    <x v="1"/>
    <x v="1"/>
  </r>
  <r>
    <n v="749"/>
    <x v="158"/>
    <s v="C1006"/>
    <x v="1"/>
    <x v="0"/>
    <n v="2"/>
    <n v="220"/>
    <n v="440"/>
    <n v="100"/>
    <n v="200"/>
    <n v="240"/>
    <x v="1"/>
    <x v="4"/>
    <x v="0"/>
    <n v="23.47"/>
    <n v="35.39"/>
    <n v="17.239999999999998"/>
    <n v="26.14"/>
    <n v="4.88"/>
    <n v="10.79"/>
    <n v="2.58"/>
    <n v="2.12"/>
    <n v="117.39"/>
    <x v="0"/>
    <x v="0"/>
  </r>
  <r>
    <n v="750"/>
    <x v="78"/>
    <s v="C1221"/>
    <x v="6"/>
    <x v="0"/>
    <n v="1"/>
    <n v="180"/>
    <n v="180"/>
    <n v="75"/>
    <n v="75"/>
    <n v="105"/>
    <x v="4"/>
    <x v="4"/>
    <x v="0"/>
    <n v="13.72"/>
    <n v="46.86"/>
    <n v="14.3"/>
    <n v="1.93"/>
    <n v="0.68"/>
    <n v="7.74"/>
    <n v="3.96"/>
    <n v="1.05"/>
    <n v="14.76"/>
    <x v="1"/>
    <x v="1"/>
  </r>
  <r>
    <n v="751"/>
    <x v="70"/>
    <s v="C1023"/>
    <x v="1"/>
    <x v="0"/>
    <n v="4"/>
    <n v="220"/>
    <n v="880"/>
    <n v="100"/>
    <n v="400"/>
    <n v="480"/>
    <x v="1"/>
    <x v="0"/>
    <x v="5"/>
    <n v="17.04"/>
    <n v="55.86"/>
    <n v="19.010000000000002"/>
    <n v="7.17"/>
    <n v="2.85"/>
    <n v="6.61"/>
    <n v="7"/>
    <n v="2.42"/>
    <n v="362.04"/>
    <x v="0"/>
    <x v="0"/>
  </r>
  <r>
    <n v="752"/>
    <x v="82"/>
    <s v="C1238"/>
    <x v="3"/>
    <x v="2"/>
    <n v="3"/>
    <n v="180"/>
    <n v="540"/>
    <n v="90"/>
    <n v="270"/>
    <n v="270"/>
    <x v="1"/>
    <x v="3"/>
    <x v="2"/>
    <n v="22.72"/>
    <n v="53.66"/>
    <n v="7.13"/>
    <n v="27.22"/>
    <n v="1.93"/>
    <n v="3.38"/>
    <n v="1.81"/>
    <n v="1.99"/>
    <n v="150.16"/>
    <x v="0"/>
    <x v="0"/>
  </r>
  <r>
    <n v="753"/>
    <x v="134"/>
    <s v="C1107"/>
    <x v="1"/>
    <x v="0"/>
    <n v="1"/>
    <n v="220"/>
    <n v="220"/>
    <n v="100"/>
    <n v="100"/>
    <n v="120"/>
    <x v="0"/>
    <x v="4"/>
    <x v="3"/>
    <n v="29.49"/>
    <n v="34.049999999999997"/>
    <n v="6.63"/>
    <n v="32.840000000000003"/>
    <n v="2.48"/>
    <n v="2.0699999999999998"/>
    <n v="1.96"/>
    <n v="2.04"/>
    <n v="8.44"/>
    <x v="0"/>
    <x v="1"/>
  </r>
  <r>
    <n v="754"/>
    <x v="82"/>
    <s v="C1262"/>
    <x v="3"/>
    <x v="2"/>
    <n v="2"/>
    <n v="180"/>
    <n v="360"/>
    <n v="90"/>
    <n v="180"/>
    <n v="180"/>
    <x v="0"/>
    <x v="4"/>
    <x v="3"/>
    <n v="16.829999999999998"/>
    <n v="29.58"/>
    <n v="8.6199999999999992"/>
    <n v="31.35"/>
    <n v="2.67"/>
    <n v="12.83"/>
    <n v="6.66"/>
    <n v="2.84"/>
    <n v="68.62"/>
    <x v="0"/>
    <x v="0"/>
  </r>
  <r>
    <n v="755"/>
    <x v="98"/>
    <s v="C1021"/>
    <x v="7"/>
    <x v="2"/>
    <n v="1"/>
    <n v="150"/>
    <n v="150"/>
    <n v="70"/>
    <n v="70"/>
    <n v="80"/>
    <x v="0"/>
    <x v="1"/>
    <x v="1"/>
    <n v="38.78"/>
    <n v="58.98"/>
    <n v="16.88"/>
    <n v="25.2"/>
    <n v="1.87"/>
    <n v="6.36"/>
    <n v="3.24"/>
    <n v="0.04"/>
    <n v="-71.349999999999994"/>
    <x v="1"/>
    <x v="1"/>
  </r>
  <r>
    <n v="756"/>
    <x v="174"/>
    <s v="C1007"/>
    <x v="5"/>
    <x v="0"/>
    <n v="1"/>
    <n v="250"/>
    <n v="250"/>
    <n v="110"/>
    <n v="110"/>
    <n v="140"/>
    <x v="2"/>
    <x v="3"/>
    <x v="3"/>
    <n v="39.18"/>
    <n v="53.48"/>
    <n v="5"/>
    <n v="27.27"/>
    <n v="3.37"/>
    <n v="11.33"/>
    <n v="1.35"/>
    <n v="2.74"/>
    <n v="-3.72"/>
    <x v="0"/>
    <x v="1"/>
  </r>
  <r>
    <n v="757"/>
    <x v="57"/>
    <s v="C1345"/>
    <x v="1"/>
    <x v="0"/>
    <n v="3"/>
    <n v="220"/>
    <n v="660"/>
    <n v="100"/>
    <n v="300"/>
    <n v="360"/>
    <x v="2"/>
    <x v="4"/>
    <x v="4"/>
    <n v="21.96"/>
    <n v="45.23"/>
    <n v="5.76"/>
    <n v="28.43"/>
    <n v="3.56"/>
    <n v="13.48"/>
    <n v="6.53"/>
    <n v="2.09"/>
    <n v="232.96"/>
    <x v="0"/>
    <x v="0"/>
  </r>
  <r>
    <n v="758"/>
    <x v="93"/>
    <s v="C1276"/>
    <x v="7"/>
    <x v="2"/>
    <n v="1"/>
    <n v="150"/>
    <n v="150"/>
    <n v="70"/>
    <n v="70"/>
    <n v="80"/>
    <x v="1"/>
    <x v="4"/>
    <x v="0"/>
    <n v="28.02"/>
    <n v="52.12"/>
    <n v="8.35"/>
    <n v="0.89"/>
    <n v="3.03"/>
    <n v="7.71"/>
    <n v="2.77"/>
    <n v="0.28999999999999998"/>
    <n v="-23.18"/>
    <x v="2"/>
    <x v="0"/>
  </r>
  <r>
    <n v="759"/>
    <x v="104"/>
    <s v="C1309"/>
    <x v="3"/>
    <x v="2"/>
    <n v="1"/>
    <n v="180"/>
    <n v="180"/>
    <n v="90"/>
    <n v="90"/>
    <n v="90"/>
    <x v="1"/>
    <x v="0"/>
    <x v="0"/>
    <n v="35.82"/>
    <n v="47.28"/>
    <n v="14.23"/>
    <n v="0.35"/>
    <n v="0.78"/>
    <n v="9.31"/>
    <n v="3.33"/>
    <n v="1.27"/>
    <n v="-22.37"/>
    <x v="0"/>
    <x v="0"/>
  </r>
  <r>
    <n v="760"/>
    <x v="25"/>
    <s v="C1063"/>
    <x v="0"/>
    <x v="0"/>
    <n v="2"/>
    <n v="200"/>
    <n v="400"/>
    <n v="90"/>
    <n v="180"/>
    <n v="220"/>
    <x v="3"/>
    <x v="1"/>
    <x v="5"/>
    <n v="39.01"/>
    <n v="30.55"/>
    <n v="8"/>
    <n v="30.13"/>
    <n v="2.27"/>
    <n v="5.82"/>
    <n v="3.63"/>
    <n v="2.35"/>
    <n v="98.24"/>
    <x v="2"/>
    <x v="1"/>
  </r>
  <r>
    <n v="761"/>
    <x v="15"/>
    <s v="C1314"/>
    <x v="0"/>
    <x v="0"/>
    <n v="4"/>
    <n v="200"/>
    <n v="800"/>
    <n v="90"/>
    <n v="360"/>
    <n v="440"/>
    <x v="0"/>
    <x v="3"/>
    <x v="3"/>
    <n v="19.48"/>
    <n v="26.16"/>
    <n v="11.87"/>
    <n v="4.25"/>
    <n v="2.2799999999999998"/>
    <n v="13.74"/>
    <n v="2.21"/>
    <n v="1.27"/>
    <n v="358.74"/>
    <x v="0"/>
    <x v="0"/>
  </r>
  <r>
    <n v="762"/>
    <x v="146"/>
    <s v="C1113"/>
    <x v="0"/>
    <x v="0"/>
    <n v="2"/>
    <n v="200"/>
    <n v="400"/>
    <n v="90"/>
    <n v="180"/>
    <n v="220"/>
    <x v="1"/>
    <x v="3"/>
    <x v="5"/>
    <n v="15.21"/>
    <n v="52.55"/>
    <n v="16.66"/>
    <n v="27.84"/>
    <n v="0.33"/>
    <n v="10.27"/>
    <n v="4.95"/>
    <n v="0.5"/>
    <n v="91.69"/>
    <x v="1"/>
    <x v="1"/>
  </r>
  <r>
    <n v="763"/>
    <x v="54"/>
    <s v="C1238"/>
    <x v="0"/>
    <x v="0"/>
    <n v="2"/>
    <n v="200"/>
    <n v="400"/>
    <n v="90"/>
    <n v="180"/>
    <n v="220"/>
    <x v="3"/>
    <x v="3"/>
    <x v="3"/>
    <n v="14.13"/>
    <n v="34.299999999999997"/>
    <n v="15.48"/>
    <n v="13.27"/>
    <n v="1.37"/>
    <n v="14.62"/>
    <n v="3.89"/>
    <n v="1.03"/>
    <n v="121.91"/>
    <x v="1"/>
    <x v="1"/>
  </r>
  <r>
    <n v="764"/>
    <x v="73"/>
    <s v="C1330"/>
    <x v="6"/>
    <x v="0"/>
    <n v="3"/>
    <n v="180"/>
    <n v="540"/>
    <n v="75"/>
    <n v="225"/>
    <n v="315"/>
    <x v="2"/>
    <x v="4"/>
    <x v="4"/>
    <n v="14.45"/>
    <n v="41.52"/>
    <n v="19.48"/>
    <n v="5.77"/>
    <n v="0.84"/>
    <n v="5.5"/>
    <n v="4.0999999999999996"/>
    <n v="1.51"/>
    <n v="221.83"/>
    <x v="0"/>
    <x v="1"/>
  </r>
  <r>
    <n v="765"/>
    <x v="48"/>
    <s v="C1301"/>
    <x v="1"/>
    <x v="0"/>
    <n v="2"/>
    <n v="220"/>
    <n v="440"/>
    <n v="100"/>
    <n v="200"/>
    <n v="240"/>
    <x v="3"/>
    <x v="4"/>
    <x v="3"/>
    <n v="13.55"/>
    <n v="52.16"/>
    <n v="10.45"/>
    <n v="1.52"/>
    <n v="3.28"/>
    <n v="9.76"/>
    <n v="7.57"/>
    <n v="2.64"/>
    <n v="139.07"/>
    <x v="1"/>
    <x v="1"/>
  </r>
  <r>
    <n v="766"/>
    <x v="51"/>
    <s v="C1335"/>
    <x v="4"/>
    <x v="0"/>
    <n v="2"/>
    <n v="120"/>
    <n v="240"/>
    <n v="50"/>
    <n v="100"/>
    <n v="140"/>
    <x v="2"/>
    <x v="4"/>
    <x v="1"/>
    <n v="26.89"/>
    <n v="40.24"/>
    <n v="6.52"/>
    <n v="27.75"/>
    <n v="2.27"/>
    <n v="3.18"/>
    <n v="2.69"/>
    <n v="2.58"/>
    <n v="27.88"/>
    <x v="2"/>
    <x v="0"/>
  </r>
  <r>
    <n v="767"/>
    <x v="115"/>
    <s v="C1173"/>
    <x v="7"/>
    <x v="2"/>
    <n v="4"/>
    <n v="150"/>
    <n v="600"/>
    <n v="70"/>
    <n v="280"/>
    <n v="320"/>
    <x v="0"/>
    <x v="0"/>
    <x v="4"/>
    <n v="12.86"/>
    <n v="16.8"/>
    <n v="8.27"/>
    <n v="22.46"/>
    <n v="0.75"/>
    <n v="11.9"/>
    <n v="6.42"/>
    <n v="0.16"/>
    <n v="240.38"/>
    <x v="2"/>
    <x v="0"/>
  </r>
  <r>
    <n v="768"/>
    <x v="0"/>
    <s v="C1129"/>
    <x v="6"/>
    <x v="0"/>
    <n v="1"/>
    <n v="180"/>
    <n v="180"/>
    <n v="75"/>
    <n v="75"/>
    <n v="105"/>
    <x v="3"/>
    <x v="1"/>
    <x v="1"/>
    <n v="23.09"/>
    <n v="55.89"/>
    <n v="8.7100000000000009"/>
    <n v="25.54"/>
    <n v="3.24"/>
    <n v="14.57"/>
    <n v="2.6"/>
    <n v="0.08"/>
    <n v="-28.72"/>
    <x v="0"/>
    <x v="0"/>
  </r>
  <r>
    <n v="769"/>
    <x v="98"/>
    <s v="C1105"/>
    <x v="6"/>
    <x v="0"/>
    <n v="2"/>
    <n v="180"/>
    <n v="360"/>
    <n v="75"/>
    <n v="150"/>
    <n v="210"/>
    <x v="1"/>
    <x v="2"/>
    <x v="0"/>
    <n v="19.809999999999999"/>
    <n v="38.22"/>
    <n v="19.95"/>
    <n v="3.96"/>
    <n v="2.65"/>
    <n v="2.82"/>
    <n v="1.29"/>
    <n v="0.78"/>
    <n v="120.52"/>
    <x v="1"/>
    <x v="1"/>
  </r>
  <r>
    <n v="770"/>
    <x v="78"/>
    <s v="C1279"/>
    <x v="6"/>
    <x v="0"/>
    <n v="1"/>
    <n v="180"/>
    <n v="180"/>
    <n v="75"/>
    <n v="75"/>
    <n v="105"/>
    <x v="2"/>
    <x v="0"/>
    <x v="0"/>
    <n v="13.41"/>
    <n v="27.08"/>
    <n v="9.1300000000000008"/>
    <n v="25.94"/>
    <n v="0.84"/>
    <n v="6.5"/>
    <n v="7.01"/>
    <n v="2.2599999999999998"/>
    <n v="12.83"/>
    <x v="1"/>
    <x v="1"/>
  </r>
  <r>
    <n v="771"/>
    <x v="113"/>
    <s v="C1207"/>
    <x v="3"/>
    <x v="2"/>
    <n v="1"/>
    <n v="180"/>
    <n v="180"/>
    <n v="90"/>
    <n v="90"/>
    <n v="90"/>
    <x v="0"/>
    <x v="1"/>
    <x v="4"/>
    <n v="39.270000000000003"/>
    <n v="38.79"/>
    <n v="7.78"/>
    <n v="5.89"/>
    <n v="2.36"/>
    <n v="3.62"/>
    <n v="3.4"/>
    <n v="1.04"/>
    <n v="-12.15"/>
    <x v="1"/>
    <x v="1"/>
  </r>
  <r>
    <n v="772"/>
    <x v="122"/>
    <s v="C1051"/>
    <x v="1"/>
    <x v="0"/>
    <n v="1"/>
    <n v="220"/>
    <n v="220"/>
    <n v="100"/>
    <n v="100"/>
    <n v="120"/>
    <x v="3"/>
    <x v="2"/>
    <x v="5"/>
    <n v="16.920000000000002"/>
    <n v="22.01"/>
    <n v="15.44"/>
    <n v="20.87"/>
    <n v="0.25"/>
    <n v="4.2300000000000004"/>
    <n v="4.9800000000000004"/>
    <n v="1.22"/>
    <n v="34.08"/>
    <x v="2"/>
    <x v="0"/>
  </r>
  <r>
    <n v="773"/>
    <x v="55"/>
    <s v="C1146"/>
    <x v="6"/>
    <x v="0"/>
    <n v="2"/>
    <n v="180"/>
    <n v="360"/>
    <n v="75"/>
    <n v="150"/>
    <n v="210"/>
    <x v="4"/>
    <x v="0"/>
    <x v="4"/>
    <n v="19.66"/>
    <n v="54.96"/>
    <n v="11.43"/>
    <n v="10.81"/>
    <n v="0.26"/>
    <n v="7.08"/>
    <n v="4.55"/>
    <n v="2.0499999999999998"/>
    <n v="99.2"/>
    <x v="0"/>
    <x v="1"/>
  </r>
  <r>
    <n v="774"/>
    <x v="152"/>
    <s v="C1219"/>
    <x v="3"/>
    <x v="2"/>
    <n v="2"/>
    <n v="180"/>
    <n v="360"/>
    <n v="90"/>
    <n v="180"/>
    <n v="180"/>
    <x v="3"/>
    <x v="3"/>
    <x v="5"/>
    <n v="37.18"/>
    <n v="43.91"/>
    <n v="14.8"/>
    <n v="1.29"/>
    <n v="3.83"/>
    <n v="3.25"/>
    <n v="1.99"/>
    <n v="0.34"/>
    <n v="73.41"/>
    <x v="0"/>
    <x v="0"/>
  </r>
  <r>
    <n v="775"/>
    <x v="53"/>
    <s v="C1185"/>
    <x v="3"/>
    <x v="2"/>
    <n v="3"/>
    <n v="180"/>
    <n v="540"/>
    <n v="90"/>
    <n v="270"/>
    <n v="270"/>
    <x v="0"/>
    <x v="0"/>
    <x v="5"/>
    <n v="37.520000000000003"/>
    <n v="17.14"/>
    <n v="11.02"/>
    <n v="28.86"/>
    <n v="4.38"/>
    <n v="6.87"/>
    <n v="1.87"/>
    <n v="0.56000000000000005"/>
    <n v="161.78"/>
    <x v="0"/>
    <x v="1"/>
  </r>
  <r>
    <n v="776"/>
    <x v="157"/>
    <s v="C1294"/>
    <x v="4"/>
    <x v="0"/>
    <n v="1"/>
    <n v="120"/>
    <n v="120"/>
    <n v="50"/>
    <n v="50"/>
    <n v="70"/>
    <x v="1"/>
    <x v="2"/>
    <x v="3"/>
    <n v="21.76"/>
    <n v="39.32"/>
    <n v="8.4700000000000006"/>
    <n v="20.23"/>
    <n v="3.57"/>
    <n v="11.99"/>
    <n v="3.22"/>
    <n v="0"/>
    <n v="-38.56"/>
    <x v="0"/>
    <x v="1"/>
  </r>
  <r>
    <n v="777"/>
    <x v="118"/>
    <s v="C1057"/>
    <x v="7"/>
    <x v="2"/>
    <n v="3"/>
    <n v="150"/>
    <n v="450"/>
    <n v="70"/>
    <n v="210"/>
    <n v="240"/>
    <x v="4"/>
    <x v="4"/>
    <x v="5"/>
    <n v="34.92"/>
    <n v="29.74"/>
    <n v="18.760000000000002"/>
    <n v="13.69"/>
    <n v="3.55"/>
    <n v="2.89"/>
    <n v="6.66"/>
    <n v="2.29"/>
    <n v="127.5"/>
    <x v="1"/>
    <x v="1"/>
  </r>
  <r>
    <n v="778"/>
    <x v="59"/>
    <s v="C1243"/>
    <x v="0"/>
    <x v="0"/>
    <n v="4"/>
    <n v="200"/>
    <n v="800"/>
    <n v="90"/>
    <n v="360"/>
    <n v="440"/>
    <x v="4"/>
    <x v="2"/>
    <x v="4"/>
    <n v="38.54"/>
    <n v="28.41"/>
    <n v="6.66"/>
    <n v="32.130000000000003"/>
    <n v="3.51"/>
    <n v="8.77"/>
    <n v="1.35"/>
    <n v="2.78"/>
    <n v="317.85000000000002"/>
    <x v="1"/>
    <x v="1"/>
  </r>
  <r>
    <n v="779"/>
    <x v="7"/>
    <s v="C1168"/>
    <x v="1"/>
    <x v="0"/>
    <n v="2"/>
    <n v="220"/>
    <n v="440"/>
    <n v="100"/>
    <n v="200"/>
    <n v="240"/>
    <x v="3"/>
    <x v="3"/>
    <x v="0"/>
    <n v="27.32"/>
    <n v="59.57"/>
    <n v="8.9700000000000006"/>
    <n v="4.43"/>
    <n v="1.32"/>
    <n v="2.92"/>
    <n v="7.5"/>
    <n v="1.81"/>
    <n v="126.16"/>
    <x v="2"/>
    <x v="0"/>
  </r>
  <r>
    <n v="780"/>
    <x v="163"/>
    <s v="C1154"/>
    <x v="1"/>
    <x v="0"/>
    <n v="1"/>
    <n v="220"/>
    <n v="220"/>
    <n v="100"/>
    <n v="100"/>
    <n v="120"/>
    <x v="2"/>
    <x v="0"/>
    <x v="5"/>
    <n v="19.420000000000002"/>
    <n v="34.65"/>
    <n v="8.2799999999999994"/>
    <n v="26.05"/>
    <n v="2.4300000000000002"/>
    <n v="12.28"/>
    <n v="5.9"/>
    <n v="1.03"/>
    <n v="9.9600000000000009"/>
    <x v="0"/>
    <x v="0"/>
  </r>
  <r>
    <n v="781"/>
    <x v="88"/>
    <s v="C1225"/>
    <x v="0"/>
    <x v="0"/>
    <n v="3"/>
    <n v="200"/>
    <n v="600"/>
    <n v="90"/>
    <n v="270"/>
    <n v="330"/>
    <x v="3"/>
    <x v="2"/>
    <x v="5"/>
    <n v="26.71"/>
    <n v="19.739999999999998"/>
    <n v="9.01"/>
    <n v="12.23"/>
    <n v="1.93"/>
    <n v="9.23"/>
    <n v="4.33"/>
    <n v="0.71"/>
    <n v="246.11"/>
    <x v="1"/>
    <x v="1"/>
  </r>
  <r>
    <n v="782"/>
    <x v="119"/>
    <s v="C1231"/>
    <x v="0"/>
    <x v="0"/>
    <n v="3"/>
    <n v="200"/>
    <n v="600"/>
    <n v="90"/>
    <n v="270"/>
    <n v="330"/>
    <x v="2"/>
    <x v="0"/>
    <x v="3"/>
    <n v="33.57"/>
    <n v="51.66"/>
    <n v="12.72"/>
    <n v="18.760000000000002"/>
    <n v="1.28"/>
    <n v="11.62"/>
    <n v="5.12"/>
    <n v="1.32"/>
    <n v="193.95"/>
    <x v="2"/>
    <x v="1"/>
  </r>
  <r>
    <n v="783"/>
    <x v="86"/>
    <s v="C1046"/>
    <x v="7"/>
    <x v="2"/>
    <n v="3"/>
    <n v="150"/>
    <n v="450"/>
    <n v="70"/>
    <n v="210"/>
    <n v="240"/>
    <x v="0"/>
    <x v="1"/>
    <x v="5"/>
    <n v="32.79"/>
    <n v="46.71"/>
    <n v="8.94"/>
    <n v="18.739999999999998"/>
    <n v="2.87"/>
    <n v="6.57"/>
    <n v="2.82"/>
    <n v="1.17"/>
    <n v="119.39"/>
    <x v="2"/>
    <x v="0"/>
  </r>
  <r>
    <n v="784"/>
    <x v="28"/>
    <s v="C1272"/>
    <x v="4"/>
    <x v="0"/>
    <n v="2"/>
    <n v="120"/>
    <n v="240"/>
    <n v="50"/>
    <n v="100"/>
    <n v="140"/>
    <x v="1"/>
    <x v="2"/>
    <x v="1"/>
    <n v="28.55"/>
    <n v="48.61"/>
    <n v="13.06"/>
    <n v="4.0199999999999996"/>
    <n v="2.11"/>
    <n v="6.26"/>
    <n v="2.89"/>
    <n v="1.98"/>
    <n v="32.520000000000003"/>
    <x v="0"/>
    <x v="0"/>
  </r>
  <r>
    <n v="785"/>
    <x v="91"/>
    <s v="C1048"/>
    <x v="0"/>
    <x v="0"/>
    <n v="2"/>
    <n v="200"/>
    <n v="400"/>
    <n v="90"/>
    <n v="180"/>
    <n v="220"/>
    <x v="0"/>
    <x v="0"/>
    <x v="5"/>
    <n v="15.88"/>
    <n v="51.21"/>
    <n v="10.65"/>
    <n v="17.899999999999999"/>
    <n v="1.27"/>
    <n v="10.02"/>
    <n v="1.44"/>
    <n v="1.19"/>
    <n v="110.44"/>
    <x v="2"/>
    <x v="0"/>
  </r>
  <r>
    <n v="786"/>
    <x v="131"/>
    <s v="C1209"/>
    <x v="5"/>
    <x v="0"/>
    <n v="3"/>
    <n v="250"/>
    <n v="750"/>
    <n v="110"/>
    <n v="330"/>
    <n v="420"/>
    <x v="2"/>
    <x v="3"/>
    <x v="1"/>
    <n v="13.7"/>
    <n v="21.39"/>
    <n v="7.07"/>
    <n v="1.84"/>
    <n v="0.39"/>
    <n v="4.28"/>
    <n v="5.84"/>
    <n v="0.55000000000000004"/>
    <n v="364.94"/>
    <x v="0"/>
    <x v="0"/>
  </r>
  <r>
    <n v="787"/>
    <x v="149"/>
    <s v="C1062"/>
    <x v="2"/>
    <x v="1"/>
    <n v="3"/>
    <n v="80"/>
    <n v="240"/>
    <n v="30"/>
    <n v="90"/>
    <n v="150"/>
    <x v="3"/>
    <x v="3"/>
    <x v="1"/>
    <n v="17.489999999999998"/>
    <n v="34.369999999999997"/>
    <n v="11.53"/>
    <n v="13.46"/>
    <n v="0.23"/>
    <n v="4.25"/>
    <n v="6.21"/>
    <n v="2.12"/>
    <n v="60.34"/>
    <x v="1"/>
    <x v="1"/>
  </r>
  <r>
    <n v="788"/>
    <x v="113"/>
    <s v="C1091"/>
    <x v="1"/>
    <x v="0"/>
    <n v="3"/>
    <n v="220"/>
    <n v="660"/>
    <n v="100"/>
    <n v="300"/>
    <n v="360"/>
    <x v="1"/>
    <x v="3"/>
    <x v="3"/>
    <n v="30.28"/>
    <n v="35.31"/>
    <n v="5.17"/>
    <n v="11.55"/>
    <n v="4.05"/>
    <n v="9.86"/>
    <n v="3.87"/>
    <n v="0.23"/>
    <n v="259.68"/>
    <x v="2"/>
    <x v="0"/>
  </r>
  <r>
    <n v="789"/>
    <x v="130"/>
    <s v="C1172"/>
    <x v="0"/>
    <x v="0"/>
    <n v="2"/>
    <n v="200"/>
    <n v="400"/>
    <n v="90"/>
    <n v="180"/>
    <n v="220"/>
    <x v="0"/>
    <x v="0"/>
    <x v="5"/>
    <n v="33.15"/>
    <n v="18.29"/>
    <n v="12.04"/>
    <n v="23.25"/>
    <n v="4.92"/>
    <n v="13.84"/>
    <n v="3.85"/>
    <n v="1.22"/>
    <n v="109.44"/>
    <x v="2"/>
    <x v="0"/>
  </r>
  <r>
    <n v="790"/>
    <x v="139"/>
    <s v="C1132"/>
    <x v="1"/>
    <x v="0"/>
    <n v="1"/>
    <n v="220"/>
    <n v="220"/>
    <n v="100"/>
    <n v="100"/>
    <n v="120"/>
    <x v="2"/>
    <x v="2"/>
    <x v="0"/>
    <n v="27.57"/>
    <n v="51.81"/>
    <n v="12.35"/>
    <n v="7.78"/>
    <n v="2.99"/>
    <n v="14.82"/>
    <n v="3.16"/>
    <n v="0.04"/>
    <n v="-0.52"/>
    <x v="1"/>
    <x v="1"/>
  </r>
  <r>
    <n v="791"/>
    <x v="89"/>
    <s v="C1236"/>
    <x v="5"/>
    <x v="0"/>
    <n v="4"/>
    <n v="250"/>
    <n v="1000"/>
    <n v="110"/>
    <n v="440"/>
    <n v="560"/>
    <x v="2"/>
    <x v="2"/>
    <x v="2"/>
    <n v="21.38"/>
    <n v="33.19"/>
    <n v="9.0299999999999994"/>
    <n v="20.93"/>
    <n v="2.8"/>
    <n v="5.16"/>
    <n v="4.07"/>
    <n v="1.1599999999999999"/>
    <n v="462.28"/>
    <x v="0"/>
    <x v="0"/>
  </r>
  <r>
    <n v="792"/>
    <x v="160"/>
    <s v="C1284"/>
    <x v="7"/>
    <x v="2"/>
    <n v="1"/>
    <n v="150"/>
    <n v="150"/>
    <n v="70"/>
    <n v="70"/>
    <n v="80"/>
    <x v="2"/>
    <x v="1"/>
    <x v="2"/>
    <n v="27.57"/>
    <n v="18.14"/>
    <n v="14.67"/>
    <n v="17.88"/>
    <n v="4.29"/>
    <n v="14.29"/>
    <n v="3.75"/>
    <n v="0.11"/>
    <n v="-20.7"/>
    <x v="1"/>
    <x v="1"/>
  </r>
  <r>
    <n v="793"/>
    <x v="1"/>
    <s v="C1224"/>
    <x v="6"/>
    <x v="0"/>
    <n v="4"/>
    <n v="180"/>
    <n v="720"/>
    <n v="75"/>
    <n v="300"/>
    <n v="420"/>
    <x v="4"/>
    <x v="2"/>
    <x v="1"/>
    <n v="29.84"/>
    <n v="35.340000000000003"/>
    <n v="13.06"/>
    <n v="31.3"/>
    <n v="3.07"/>
    <n v="2.42"/>
    <n v="3.41"/>
    <n v="1.37"/>
    <n v="300.19"/>
    <x v="0"/>
    <x v="1"/>
  </r>
  <r>
    <n v="794"/>
    <x v="108"/>
    <s v="C1185"/>
    <x v="3"/>
    <x v="2"/>
    <n v="1"/>
    <n v="180"/>
    <n v="180"/>
    <n v="90"/>
    <n v="90"/>
    <n v="90"/>
    <x v="1"/>
    <x v="4"/>
    <x v="4"/>
    <n v="36.340000000000003"/>
    <n v="51.56"/>
    <n v="5.69"/>
    <n v="10.36"/>
    <n v="0.9"/>
    <n v="9.33"/>
    <n v="3.55"/>
    <n v="0.23"/>
    <n v="-27.96"/>
    <x v="0"/>
    <x v="0"/>
  </r>
  <r>
    <n v="795"/>
    <x v="161"/>
    <s v="C1129"/>
    <x v="4"/>
    <x v="0"/>
    <n v="4"/>
    <n v="120"/>
    <n v="480"/>
    <n v="50"/>
    <n v="200"/>
    <n v="280"/>
    <x v="1"/>
    <x v="0"/>
    <x v="5"/>
    <n v="35.4"/>
    <n v="54.42"/>
    <n v="7.1"/>
    <n v="24.59"/>
    <n v="0.83"/>
    <n v="11.66"/>
    <n v="1.1399999999999999"/>
    <n v="1.78"/>
    <n v="143.08000000000001"/>
    <x v="1"/>
    <x v="1"/>
  </r>
  <r>
    <n v="796"/>
    <x v="140"/>
    <s v="C1111"/>
    <x v="0"/>
    <x v="0"/>
    <n v="2"/>
    <n v="200"/>
    <n v="400"/>
    <n v="90"/>
    <n v="180"/>
    <n v="220"/>
    <x v="1"/>
    <x v="2"/>
    <x v="2"/>
    <n v="35.5"/>
    <n v="58.4"/>
    <n v="13.8"/>
    <n v="2.88"/>
    <n v="1.05"/>
    <n v="7.43"/>
    <n v="4.92"/>
    <n v="1.3"/>
    <n v="94.72"/>
    <x v="2"/>
    <x v="0"/>
  </r>
  <r>
    <n v="797"/>
    <x v="10"/>
    <s v="C1024"/>
    <x v="5"/>
    <x v="0"/>
    <n v="4"/>
    <n v="250"/>
    <n v="1000"/>
    <n v="110"/>
    <n v="440"/>
    <n v="560"/>
    <x v="1"/>
    <x v="4"/>
    <x v="1"/>
    <n v="28"/>
    <n v="33.119999999999997"/>
    <n v="18.489999999999998"/>
    <n v="14.71"/>
    <n v="1.26"/>
    <n v="5.69"/>
    <n v="5.28"/>
    <n v="0.81"/>
    <n v="452.64"/>
    <x v="1"/>
    <x v="0"/>
  </r>
  <r>
    <n v="798"/>
    <x v="80"/>
    <s v="C1348"/>
    <x v="7"/>
    <x v="2"/>
    <n v="1"/>
    <n v="150"/>
    <n v="150"/>
    <n v="70"/>
    <n v="70"/>
    <n v="80"/>
    <x v="0"/>
    <x v="4"/>
    <x v="3"/>
    <n v="28.64"/>
    <n v="18.059999999999999"/>
    <n v="13.32"/>
    <n v="20.3"/>
    <n v="4.76"/>
    <n v="14.89"/>
    <n v="2.75"/>
    <n v="0.98"/>
    <n v="-23.7"/>
    <x v="2"/>
    <x v="0"/>
  </r>
  <r>
    <n v="799"/>
    <x v="169"/>
    <s v="C1183"/>
    <x v="7"/>
    <x v="2"/>
    <n v="2"/>
    <n v="150"/>
    <n v="300"/>
    <n v="70"/>
    <n v="140"/>
    <n v="160"/>
    <x v="0"/>
    <x v="3"/>
    <x v="1"/>
    <n v="18.829999999999998"/>
    <n v="45.62"/>
    <n v="9.18"/>
    <n v="22.3"/>
    <n v="1.0900000000000001"/>
    <n v="13.89"/>
    <n v="3.29"/>
    <n v="1.45"/>
    <n v="44.35"/>
    <x v="1"/>
    <x v="0"/>
  </r>
  <r>
    <n v="800"/>
    <x v="85"/>
    <s v="C1115"/>
    <x v="3"/>
    <x v="2"/>
    <n v="1"/>
    <n v="180"/>
    <n v="180"/>
    <n v="90"/>
    <n v="90"/>
    <n v="90"/>
    <x v="4"/>
    <x v="2"/>
    <x v="5"/>
    <n v="11.54"/>
    <n v="41.65"/>
    <n v="14.13"/>
    <n v="10.9"/>
    <n v="3.27"/>
    <n v="7.91"/>
    <n v="1.61"/>
    <n v="0.85"/>
    <n v="-1.86"/>
    <x v="0"/>
    <x v="0"/>
  </r>
  <r>
    <n v="801"/>
    <x v="14"/>
    <s v="C1195"/>
    <x v="3"/>
    <x v="2"/>
    <n v="1"/>
    <n v="180"/>
    <n v="180"/>
    <n v="90"/>
    <n v="90"/>
    <n v="90"/>
    <x v="3"/>
    <x v="2"/>
    <x v="0"/>
    <n v="25.33"/>
    <n v="42.98"/>
    <n v="18.059999999999999"/>
    <n v="8.75"/>
    <n v="3.48"/>
    <n v="4.82"/>
    <n v="3.73"/>
    <n v="0.21"/>
    <n v="-17.36"/>
    <x v="0"/>
    <x v="0"/>
  </r>
  <r>
    <n v="802"/>
    <x v="88"/>
    <s v="C1278"/>
    <x v="2"/>
    <x v="1"/>
    <n v="2"/>
    <n v="80"/>
    <n v="160"/>
    <n v="30"/>
    <n v="60"/>
    <n v="100"/>
    <x v="1"/>
    <x v="4"/>
    <x v="4"/>
    <n v="31.48"/>
    <n v="45.31"/>
    <n v="13.03"/>
    <n v="6.63"/>
    <n v="1.54"/>
    <n v="10.199999999999999"/>
    <n v="5.4"/>
    <n v="2.94"/>
    <n v="-16.53"/>
    <x v="2"/>
    <x v="0"/>
  </r>
  <r>
    <n v="803"/>
    <x v="25"/>
    <s v="C1289"/>
    <x v="5"/>
    <x v="0"/>
    <n v="2"/>
    <n v="250"/>
    <n v="500"/>
    <n v="110"/>
    <n v="220"/>
    <n v="280"/>
    <x v="2"/>
    <x v="0"/>
    <x v="1"/>
    <n v="29.09"/>
    <n v="20.76"/>
    <n v="16.13"/>
    <n v="23.41"/>
    <n v="3.91"/>
    <n v="6.84"/>
    <n v="3.03"/>
    <n v="2.82"/>
    <n v="174.01"/>
    <x v="2"/>
    <x v="1"/>
  </r>
  <r>
    <n v="804"/>
    <x v="127"/>
    <s v="C1078"/>
    <x v="1"/>
    <x v="0"/>
    <n v="4"/>
    <n v="220"/>
    <n v="880"/>
    <n v="100"/>
    <n v="400"/>
    <n v="480"/>
    <x v="3"/>
    <x v="3"/>
    <x v="2"/>
    <n v="37.869999999999997"/>
    <n v="33.94"/>
    <n v="15.59"/>
    <n v="29.49"/>
    <n v="0.41"/>
    <n v="3.63"/>
    <n v="6.9"/>
    <n v="2.0499999999999998"/>
    <n v="350.12"/>
    <x v="0"/>
    <x v="1"/>
  </r>
  <r>
    <n v="805"/>
    <x v="74"/>
    <s v="C1231"/>
    <x v="4"/>
    <x v="0"/>
    <n v="2"/>
    <n v="120"/>
    <n v="240"/>
    <n v="50"/>
    <n v="100"/>
    <n v="140"/>
    <x v="1"/>
    <x v="2"/>
    <x v="0"/>
    <n v="12.31"/>
    <n v="58.24"/>
    <n v="10.06"/>
    <n v="12.6"/>
    <n v="4.24"/>
    <n v="4.6399999999999997"/>
    <n v="5.56"/>
    <n v="2.44"/>
    <n v="29.91"/>
    <x v="0"/>
    <x v="0"/>
  </r>
  <r>
    <n v="806"/>
    <x v="81"/>
    <s v="C1192"/>
    <x v="4"/>
    <x v="0"/>
    <n v="3"/>
    <n v="120"/>
    <n v="360"/>
    <n v="50"/>
    <n v="150"/>
    <n v="210"/>
    <x v="3"/>
    <x v="0"/>
    <x v="2"/>
    <n v="37.119999999999997"/>
    <n v="26.83"/>
    <n v="17.88"/>
    <n v="23.88"/>
    <n v="1.08"/>
    <n v="7.79"/>
    <n v="3.71"/>
    <n v="0.88"/>
    <n v="90.83"/>
    <x v="1"/>
    <x v="1"/>
  </r>
  <r>
    <n v="807"/>
    <x v="70"/>
    <s v="C1032"/>
    <x v="0"/>
    <x v="0"/>
    <n v="1"/>
    <n v="200"/>
    <n v="200"/>
    <n v="90"/>
    <n v="90"/>
    <n v="110"/>
    <x v="1"/>
    <x v="2"/>
    <x v="0"/>
    <n v="18.059999999999999"/>
    <n v="22.27"/>
    <n v="14.48"/>
    <n v="13.62"/>
    <n v="4.8899999999999997"/>
    <n v="14.29"/>
    <n v="7.98"/>
    <n v="2.02"/>
    <n v="12.39"/>
    <x v="1"/>
    <x v="1"/>
  </r>
  <r>
    <n v="808"/>
    <x v="90"/>
    <s v="C1219"/>
    <x v="7"/>
    <x v="2"/>
    <n v="4"/>
    <n v="150"/>
    <n v="600"/>
    <n v="70"/>
    <n v="280"/>
    <n v="320"/>
    <x v="3"/>
    <x v="4"/>
    <x v="4"/>
    <n v="26.41"/>
    <n v="39.049999999999997"/>
    <n v="10.8"/>
    <n v="6.09"/>
    <n v="4.03"/>
    <n v="6.77"/>
    <n v="6.29"/>
    <n v="2.4"/>
    <n v="218.16"/>
    <x v="2"/>
    <x v="1"/>
  </r>
  <r>
    <n v="809"/>
    <x v="163"/>
    <s v="C1022"/>
    <x v="0"/>
    <x v="0"/>
    <n v="1"/>
    <n v="200"/>
    <n v="200"/>
    <n v="90"/>
    <n v="90"/>
    <n v="110"/>
    <x v="3"/>
    <x v="3"/>
    <x v="4"/>
    <n v="29.88"/>
    <n v="40.19"/>
    <n v="6.56"/>
    <n v="8.84"/>
    <n v="2.31"/>
    <n v="5.14"/>
    <n v="2.54"/>
    <n v="2.2000000000000002"/>
    <n v="12.34"/>
    <x v="1"/>
    <x v="0"/>
  </r>
  <r>
    <n v="810"/>
    <x v="63"/>
    <s v="C1136"/>
    <x v="1"/>
    <x v="0"/>
    <n v="2"/>
    <n v="220"/>
    <n v="440"/>
    <n v="100"/>
    <n v="200"/>
    <n v="240"/>
    <x v="0"/>
    <x v="4"/>
    <x v="2"/>
    <n v="19.73"/>
    <n v="41.37"/>
    <n v="15.65"/>
    <n v="23.84"/>
    <n v="0.01"/>
    <n v="11.44"/>
    <n v="3.4"/>
    <n v="1.98"/>
    <n v="122.58"/>
    <x v="2"/>
    <x v="0"/>
  </r>
  <r>
    <n v="811"/>
    <x v="31"/>
    <s v="C1183"/>
    <x v="6"/>
    <x v="0"/>
    <n v="1"/>
    <n v="180"/>
    <n v="180"/>
    <n v="75"/>
    <n v="75"/>
    <n v="105"/>
    <x v="3"/>
    <x v="0"/>
    <x v="5"/>
    <n v="39.03"/>
    <n v="25.25"/>
    <n v="6.72"/>
    <n v="20.86"/>
    <n v="2.7"/>
    <n v="13.45"/>
    <n v="1.8"/>
    <n v="2.61"/>
    <n v="-7.42"/>
    <x v="1"/>
    <x v="0"/>
  </r>
  <r>
    <n v="812"/>
    <x v="91"/>
    <s v="C1215"/>
    <x v="1"/>
    <x v="0"/>
    <n v="4"/>
    <n v="220"/>
    <n v="880"/>
    <n v="100"/>
    <n v="400"/>
    <n v="480"/>
    <x v="0"/>
    <x v="4"/>
    <x v="5"/>
    <n v="12.97"/>
    <n v="26.98"/>
    <n v="15.79"/>
    <n v="5.75"/>
    <n v="1.67"/>
    <n v="6.34"/>
    <n v="3.85"/>
    <n v="2.5299999999999998"/>
    <n v="404.12"/>
    <x v="2"/>
    <x v="1"/>
  </r>
  <r>
    <n v="813"/>
    <x v="170"/>
    <s v="C1209"/>
    <x v="6"/>
    <x v="0"/>
    <n v="1"/>
    <n v="180"/>
    <n v="180"/>
    <n v="75"/>
    <n v="75"/>
    <n v="105"/>
    <x v="0"/>
    <x v="2"/>
    <x v="1"/>
    <n v="13.43"/>
    <n v="42.74"/>
    <n v="13.41"/>
    <n v="8.07"/>
    <n v="0.64"/>
    <n v="3.61"/>
    <n v="1.5"/>
    <n v="0.3"/>
    <n v="21.3"/>
    <x v="2"/>
    <x v="0"/>
  </r>
  <r>
    <n v="814"/>
    <x v="17"/>
    <s v="C1163"/>
    <x v="0"/>
    <x v="0"/>
    <n v="3"/>
    <n v="200"/>
    <n v="600"/>
    <n v="90"/>
    <n v="270"/>
    <n v="330"/>
    <x v="2"/>
    <x v="1"/>
    <x v="0"/>
    <n v="28.16"/>
    <n v="38.94"/>
    <n v="6.66"/>
    <n v="22.1"/>
    <n v="3.8"/>
    <n v="11.22"/>
    <n v="2.97"/>
    <n v="0.92"/>
    <n v="215.23"/>
    <x v="1"/>
    <x v="1"/>
  </r>
  <r>
    <n v="815"/>
    <x v="61"/>
    <s v="C1070"/>
    <x v="6"/>
    <x v="0"/>
    <n v="4"/>
    <n v="180"/>
    <n v="720"/>
    <n v="75"/>
    <n v="300"/>
    <n v="420"/>
    <x v="0"/>
    <x v="1"/>
    <x v="5"/>
    <n v="34.869999999999997"/>
    <n v="20.079999999999998"/>
    <n v="15.59"/>
    <n v="27.26"/>
    <n v="3.72"/>
    <n v="5.67"/>
    <n v="1.58"/>
    <n v="1.5"/>
    <n v="309.73"/>
    <x v="1"/>
    <x v="0"/>
  </r>
  <r>
    <n v="816"/>
    <x v="163"/>
    <s v="C1202"/>
    <x v="1"/>
    <x v="0"/>
    <n v="3"/>
    <n v="220"/>
    <n v="660"/>
    <n v="100"/>
    <n v="300"/>
    <n v="360"/>
    <x v="0"/>
    <x v="1"/>
    <x v="0"/>
    <n v="32.5"/>
    <n v="57.64"/>
    <n v="9.35"/>
    <n v="13.74"/>
    <n v="0.17"/>
    <n v="3.42"/>
    <n v="1.78"/>
    <n v="1.67"/>
    <n v="239.73"/>
    <x v="0"/>
    <x v="1"/>
  </r>
  <r>
    <n v="817"/>
    <x v="147"/>
    <s v="C1010"/>
    <x v="0"/>
    <x v="0"/>
    <n v="3"/>
    <n v="200"/>
    <n v="600"/>
    <n v="90"/>
    <n v="270"/>
    <n v="330"/>
    <x v="2"/>
    <x v="3"/>
    <x v="2"/>
    <n v="23.5"/>
    <n v="24.59"/>
    <n v="15.71"/>
    <n v="22.16"/>
    <n v="1"/>
    <n v="3.69"/>
    <n v="5.6"/>
    <n v="0.18"/>
    <n v="233.57"/>
    <x v="2"/>
    <x v="1"/>
  </r>
  <r>
    <n v="818"/>
    <x v="146"/>
    <s v="C1347"/>
    <x v="5"/>
    <x v="0"/>
    <n v="1"/>
    <n v="250"/>
    <n v="250"/>
    <n v="110"/>
    <n v="110"/>
    <n v="140"/>
    <x v="0"/>
    <x v="1"/>
    <x v="2"/>
    <n v="29.97"/>
    <n v="17.89"/>
    <n v="11.53"/>
    <n v="4.99"/>
    <n v="2.0499999999999998"/>
    <n v="10.87"/>
    <n v="4.92"/>
    <n v="2.15"/>
    <n v="55.63"/>
    <x v="2"/>
    <x v="1"/>
  </r>
  <r>
    <n v="819"/>
    <x v="113"/>
    <s v="C1140"/>
    <x v="1"/>
    <x v="0"/>
    <n v="4"/>
    <n v="220"/>
    <n v="880"/>
    <n v="100"/>
    <n v="400"/>
    <n v="480"/>
    <x v="2"/>
    <x v="0"/>
    <x v="4"/>
    <n v="10.26"/>
    <n v="26.25"/>
    <n v="10.38"/>
    <n v="3.99"/>
    <n v="3.66"/>
    <n v="12.19"/>
    <n v="7.49"/>
    <n v="0.21"/>
    <n v="405.57"/>
    <x v="1"/>
    <x v="1"/>
  </r>
  <r>
    <n v="820"/>
    <x v="170"/>
    <s v="C1016"/>
    <x v="7"/>
    <x v="2"/>
    <n v="3"/>
    <n v="150"/>
    <n v="450"/>
    <n v="70"/>
    <n v="210"/>
    <n v="240"/>
    <x v="2"/>
    <x v="2"/>
    <x v="0"/>
    <n v="10.47"/>
    <n v="27.08"/>
    <n v="16.86"/>
    <n v="2.5099999999999998"/>
    <n v="1.2"/>
    <n v="9.57"/>
    <n v="3.48"/>
    <n v="1.48"/>
    <n v="167.35"/>
    <x v="1"/>
    <x v="0"/>
  </r>
  <r>
    <n v="821"/>
    <x v="3"/>
    <s v="C1192"/>
    <x v="4"/>
    <x v="0"/>
    <n v="4"/>
    <n v="120"/>
    <n v="480"/>
    <n v="50"/>
    <n v="200"/>
    <n v="280"/>
    <x v="1"/>
    <x v="4"/>
    <x v="3"/>
    <n v="25.77"/>
    <n v="24.86"/>
    <n v="8.67"/>
    <n v="18.22"/>
    <n v="1.28"/>
    <n v="5.35"/>
    <n v="5.88"/>
    <n v="2.2000000000000002"/>
    <n v="187.77"/>
    <x v="2"/>
    <x v="1"/>
  </r>
  <r>
    <n v="822"/>
    <x v="66"/>
    <s v="C1086"/>
    <x v="2"/>
    <x v="1"/>
    <n v="3"/>
    <n v="80"/>
    <n v="240"/>
    <n v="30"/>
    <n v="90"/>
    <n v="150"/>
    <x v="1"/>
    <x v="1"/>
    <x v="2"/>
    <n v="12.71"/>
    <n v="45.61"/>
    <n v="8.02"/>
    <n v="27.52"/>
    <n v="4.6900000000000004"/>
    <n v="5.48"/>
    <n v="2.39"/>
    <n v="2.69"/>
    <n v="40.89"/>
    <x v="2"/>
    <x v="1"/>
  </r>
  <r>
    <n v="823"/>
    <x v="57"/>
    <s v="C1001"/>
    <x v="5"/>
    <x v="0"/>
    <n v="1"/>
    <n v="250"/>
    <n v="250"/>
    <n v="110"/>
    <n v="110"/>
    <n v="140"/>
    <x v="2"/>
    <x v="1"/>
    <x v="4"/>
    <n v="25.39"/>
    <n v="48.42"/>
    <n v="10.78"/>
    <n v="30.12"/>
    <n v="0.45"/>
    <n v="14.74"/>
    <n v="1.54"/>
    <n v="0.74"/>
    <n v="7.82"/>
    <x v="2"/>
    <x v="0"/>
  </r>
  <r>
    <n v="824"/>
    <x v="64"/>
    <s v="C1027"/>
    <x v="4"/>
    <x v="0"/>
    <n v="1"/>
    <n v="120"/>
    <n v="120"/>
    <n v="50"/>
    <n v="50"/>
    <n v="70"/>
    <x v="1"/>
    <x v="0"/>
    <x v="0"/>
    <n v="27.18"/>
    <n v="20.81"/>
    <n v="18.190000000000001"/>
    <n v="15.36"/>
    <n v="0.28000000000000003"/>
    <n v="9.0299999999999994"/>
    <n v="7.82"/>
    <n v="0.45"/>
    <n v="-29.12"/>
    <x v="0"/>
    <x v="0"/>
  </r>
  <r>
    <n v="825"/>
    <x v="71"/>
    <s v="C1024"/>
    <x v="6"/>
    <x v="0"/>
    <n v="2"/>
    <n v="180"/>
    <n v="360"/>
    <n v="75"/>
    <n v="150"/>
    <n v="210"/>
    <x v="4"/>
    <x v="0"/>
    <x v="1"/>
    <n v="27.74"/>
    <n v="32.75"/>
    <n v="16.21"/>
    <n v="20.62"/>
    <n v="0.33"/>
    <n v="5.08"/>
    <n v="4.8099999999999996"/>
    <n v="1.79"/>
    <n v="100.67"/>
    <x v="2"/>
    <x v="1"/>
  </r>
  <r>
    <n v="826"/>
    <x v="150"/>
    <s v="C1067"/>
    <x v="5"/>
    <x v="0"/>
    <n v="3"/>
    <n v="250"/>
    <n v="750"/>
    <n v="110"/>
    <n v="330"/>
    <n v="420"/>
    <x v="2"/>
    <x v="1"/>
    <x v="4"/>
    <n v="20.190000000000001"/>
    <n v="35.36"/>
    <n v="12.57"/>
    <n v="1.85"/>
    <n v="2.69"/>
    <n v="3.54"/>
    <n v="7.61"/>
    <n v="2.6"/>
    <n v="333.59"/>
    <x v="0"/>
    <x v="0"/>
  </r>
  <r>
    <n v="827"/>
    <x v="98"/>
    <s v="C1047"/>
    <x v="1"/>
    <x v="0"/>
    <n v="2"/>
    <n v="220"/>
    <n v="440"/>
    <n v="100"/>
    <n v="200"/>
    <n v="240"/>
    <x v="3"/>
    <x v="1"/>
    <x v="2"/>
    <n v="14.43"/>
    <n v="15.47"/>
    <n v="18.010000000000002"/>
    <n v="7.52"/>
    <n v="3.95"/>
    <n v="9.7200000000000006"/>
    <n v="3.8"/>
    <n v="1"/>
    <n v="166.1"/>
    <x v="2"/>
    <x v="1"/>
  </r>
  <r>
    <n v="828"/>
    <x v="152"/>
    <s v="C1206"/>
    <x v="3"/>
    <x v="2"/>
    <n v="4"/>
    <n v="180"/>
    <n v="720"/>
    <n v="90"/>
    <n v="360"/>
    <n v="360"/>
    <x v="4"/>
    <x v="2"/>
    <x v="1"/>
    <n v="20"/>
    <n v="59.94"/>
    <n v="17.149999999999999"/>
    <n v="5.26"/>
    <n v="4.3899999999999997"/>
    <n v="13.84"/>
    <n v="1.74"/>
    <n v="2.91"/>
    <n v="234.77"/>
    <x v="1"/>
    <x v="0"/>
  </r>
  <r>
    <n v="829"/>
    <x v="27"/>
    <s v="C1340"/>
    <x v="4"/>
    <x v="0"/>
    <n v="3"/>
    <n v="120"/>
    <n v="360"/>
    <n v="50"/>
    <n v="150"/>
    <n v="210"/>
    <x v="2"/>
    <x v="0"/>
    <x v="3"/>
    <n v="14.59"/>
    <n v="15.96"/>
    <n v="6.69"/>
    <n v="33.26"/>
    <n v="4.16"/>
    <n v="11.53"/>
    <n v="3.64"/>
    <n v="2.2799999999999998"/>
    <n v="117.89"/>
    <x v="0"/>
    <x v="0"/>
  </r>
  <r>
    <n v="830"/>
    <x v="31"/>
    <s v="C1261"/>
    <x v="2"/>
    <x v="1"/>
    <n v="1"/>
    <n v="80"/>
    <n v="80"/>
    <n v="30"/>
    <n v="30"/>
    <n v="50"/>
    <x v="0"/>
    <x v="4"/>
    <x v="1"/>
    <n v="37.729999999999997"/>
    <n v="19.37"/>
    <n v="6.96"/>
    <n v="16.03"/>
    <n v="4.93"/>
    <n v="14.19"/>
    <n v="6.23"/>
    <n v="1.67"/>
    <n v="-57.11"/>
    <x v="1"/>
    <x v="1"/>
  </r>
  <r>
    <n v="831"/>
    <x v="153"/>
    <s v="C1246"/>
    <x v="1"/>
    <x v="0"/>
    <n v="2"/>
    <n v="220"/>
    <n v="440"/>
    <n v="100"/>
    <n v="200"/>
    <n v="240"/>
    <x v="3"/>
    <x v="4"/>
    <x v="4"/>
    <n v="32.83"/>
    <n v="34.19"/>
    <n v="16.93"/>
    <n v="33.49"/>
    <n v="3.26"/>
    <n v="9.0500000000000007"/>
    <n v="7.48"/>
    <n v="0.78"/>
    <n v="101.99"/>
    <x v="2"/>
    <x v="1"/>
  </r>
  <r>
    <n v="832"/>
    <x v="62"/>
    <s v="C1235"/>
    <x v="2"/>
    <x v="1"/>
    <n v="3"/>
    <n v="80"/>
    <n v="240"/>
    <n v="30"/>
    <n v="90"/>
    <n v="150"/>
    <x v="0"/>
    <x v="2"/>
    <x v="4"/>
    <n v="21.75"/>
    <n v="45.98"/>
    <n v="8.7200000000000006"/>
    <n v="21.81"/>
    <n v="3.49"/>
    <n v="12.32"/>
    <n v="7.95"/>
    <n v="1.68"/>
    <n v="26.3"/>
    <x v="2"/>
    <x v="1"/>
  </r>
  <r>
    <n v="833"/>
    <x v="174"/>
    <s v="C1277"/>
    <x v="4"/>
    <x v="0"/>
    <n v="4"/>
    <n v="120"/>
    <n v="480"/>
    <n v="50"/>
    <n v="200"/>
    <n v="280"/>
    <x v="1"/>
    <x v="4"/>
    <x v="0"/>
    <n v="16.79"/>
    <n v="42.99"/>
    <n v="14.38"/>
    <n v="24.14"/>
    <n v="1.1100000000000001"/>
    <n v="2.77"/>
    <n v="3.56"/>
    <n v="2.31"/>
    <n v="171.95"/>
    <x v="1"/>
    <x v="0"/>
  </r>
  <r>
    <n v="834"/>
    <x v="95"/>
    <s v="C1323"/>
    <x v="3"/>
    <x v="2"/>
    <n v="1"/>
    <n v="180"/>
    <n v="180"/>
    <n v="90"/>
    <n v="90"/>
    <n v="90"/>
    <x v="0"/>
    <x v="1"/>
    <x v="4"/>
    <n v="13.74"/>
    <n v="56.86"/>
    <n v="10.64"/>
    <n v="27.54"/>
    <n v="4.1900000000000004"/>
    <n v="8.11"/>
    <n v="2.4300000000000002"/>
    <n v="0.62"/>
    <n v="-34.130000000000003"/>
    <x v="0"/>
    <x v="0"/>
  </r>
  <r>
    <n v="835"/>
    <x v="60"/>
    <s v="C1274"/>
    <x v="4"/>
    <x v="0"/>
    <n v="3"/>
    <n v="120"/>
    <n v="360"/>
    <n v="50"/>
    <n v="150"/>
    <n v="210"/>
    <x v="3"/>
    <x v="0"/>
    <x v="0"/>
    <n v="27.46"/>
    <n v="57.86"/>
    <n v="12.71"/>
    <n v="13.91"/>
    <n v="1.22"/>
    <n v="10.06"/>
    <n v="7.45"/>
    <n v="0.75"/>
    <n v="78.58"/>
    <x v="0"/>
    <x v="1"/>
  </r>
  <r>
    <n v="836"/>
    <x v="36"/>
    <s v="C1227"/>
    <x v="3"/>
    <x v="2"/>
    <n v="4"/>
    <n v="180"/>
    <n v="720"/>
    <n v="90"/>
    <n v="360"/>
    <n v="360"/>
    <x v="0"/>
    <x v="4"/>
    <x v="3"/>
    <n v="20.49"/>
    <n v="16"/>
    <n v="14.62"/>
    <n v="3.28"/>
    <n v="4.92"/>
    <n v="5.03"/>
    <n v="3.28"/>
    <n v="1.43"/>
    <n v="290.95"/>
    <x v="2"/>
    <x v="0"/>
  </r>
  <r>
    <n v="837"/>
    <x v="41"/>
    <s v="C1046"/>
    <x v="4"/>
    <x v="0"/>
    <n v="2"/>
    <n v="120"/>
    <n v="240"/>
    <n v="50"/>
    <n v="100"/>
    <n v="140"/>
    <x v="2"/>
    <x v="4"/>
    <x v="1"/>
    <n v="15.89"/>
    <n v="43.33"/>
    <n v="12.92"/>
    <n v="30.83"/>
    <n v="0.17"/>
    <n v="14.03"/>
    <n v="6.91"/>
    <n v="1.05"/>
    <n v="14.87"/>
    <x v="2"/>
    <x v="0"/>
  </r>
  <r>
    <n v="838"/>
    <x v="102"/>
    <s v="C1213"/>
    <x v="5"/>
    <x v="0"/>
    <n v="2"/>
    <n v="250"/>
    <n v="500"/>
    <n v="110"/>
    <n v="220"/>
    <n v="280"/>
    <x v="3"/>
    <x v="3"/>
    <x v="2"/>
    <n v="17.2"/>
    <n v="48.64"/>
    <n v="16.440000000000001"/>
    <n v="24.01"/>
    <n v="1.07"/>
    <n v="10.91"/>
    <n v="1.93"/>
    <n v="0.06"/>
    <n v="159.74"/>
    <x v="2"/>
    <x v="1"/>
  </r>
  <r>
    <n v="839"/>
    <x v="165"/>
    <s v="C1252"/>
    <x v="0"/>
    <x v="0"/>
    <n v="3"/>
    <n v="200"/>
    <n v="600"/>
    <n v="90"/>
    <n v="270"/>
    <n v="330"/>
    <x v="2"/>
    <x v="1"/>
    <x v="0"/>
    <n v="10.67"/>
    <n v="41.39"/>
    <n v="6.6"/>
    <n v="14.22"/>
    <n v="3.19"/>
    <n v="8.5399999999999991"/>
    <n v="2.74"/>
    <n v="0.87"/>
    <n v="241.78"/>
    <x v="1"/>
    <x v="0"/>
  </r>
  <r>
    <n v="840"/>
    <x v="46"/>
    <s v="C1088"/>
    <x v="4"/>
    <x v="0"/>
    <n v="1"/>
    <n v="120"/>
    <n v="120"/>
    <n v="50"/>
    <n v="50"/>
    <n v="70"/>
    <x v="0"/>
    <x v="2"/>
    <x v="5"/>
    <n v="32.880000000000003"/>
    <n v="27.05"/>
    <n v="5.93"/>
    <n v="8.6999999999999993"/>
    <n v="4.5599999999999996"/>
    <n v="14.08"/>
    <n v="5.78"/>
    <n v="1.73"/>
    <n v="-30.71"/>
    <x v="2"/>
    <x v="1"/>
  </r>
  <r>
    <n v="841"/>
    <x v="65"/>
    <s v="C1071"/>
    <x v="1"/>
    <x v="0"/>
    <n v="3"/>
    <n v="220"/>
    <n v="660"/>
    <n v="100"/>
    <n v="300"/>
    <n v="360"/>
    <x v="2"/>
    <x v="3"/>
    <x v="1"/>
    <n v="11.77"/>
    <n v="33.090000000000003"/>
    <n v="6.7"/>
    <n v="3.17"/>
    <n v="4.3899999999999997"/>
    <n v="5.86"/>
    <n v="3.63"/>
    <n v="0.96"/>
    <n v="290.43"/>
    <x v="1"/>
    <x v="1"/>
  </r>
  <r>
    <n v="842"/>
    <x v="8"/>
    <s v="C1338"/>
    <x v="2"/>
    <x v="1"/>
    <n v="3"/>
    <n v="80"/>
    <n v="240"/>
    <n v="30"/>
    <n v="90"/>
    <n v="150"/>
    <x v="1"/>
    <x v="1"/>
    <x v="3"/>
    <n v="35.36"/>
    <n v="57.61"/>
    <n v="12.95"/>
    <n v="19.45"/>
    <n v="2.2999999999999998"/>
    <n v="11"/>
    <n v="6.79"/>
    <n v="0.18"/>
    <n v="4.3600000000000003"/>
    <x v="0"/>
    <x v="1"/>
  </r>
  <r>
    <n v="843"/>
    <x v="154"/>
    <s v="C1067"/>
    <x v="2"/>
    <x v="1"/>
    <n v="4"/>
    <n v="80"/>
    <n v="320"/>
    <n v="30"/>
    <n v="120"/>
    <n v="200"/>
    <x v="3"/>
    <x v="0"/>
    <x v="4"/>
    <n v="33.5"/>
    <n v="50.91"/>
    <n v="12.67"/>
    <n v="20.55"/>
    <n v="1.1599999999999999"/>
    <n v="3.24"/>
    <n v="1.49"/>
    <n v="1.61"/>
    <n v="74.87"/>
    <x v="2"/>
    <x v="1"/>
  </r>
  <r>
    <n v="844"/>
    <x v="165"/>
    <s v="C1327"/>
    <x v="2"/>
    <x v="1"/>
    <n v="3"/>
    <n v="80"/>
    <n v="240"/>
    <n v="30"/>
    <n v="90"/>
    <n v="150"/>
    <x v="4"/>
    <x v="3"/>
    <x v="2"/>
    <n v="12.42"/>
    <n v="23.87"/>
    <n v="9.25"/>
    <n v="29.95"/>
    <n v="3.33"/>
    <n v="10.71"/>
    <n v="5.53"/>
    <n v="0.59"/>
    <n v="54.35"/>
    <x v="1"/>
    <x v="1"/>
  </r>
  <r>
    <n v="845"/>
    <x v="9"/>
    <s v="C1128"/>
    <x v="1"/>
    <x v="0"/>
    <n v="3"/>
    <n v="220"/>
    <n v="660"/>
    <n v="100"/>
    <n v="300"/>
    <n v="360"/>
    <x v="1"/>
    <x v="1"/>
    <x v="4"/>
    <n v="36.32"/>
    <n v="46.46"/>
    <n v="18.39"/>
    <n v="9.09"/>
    <n v="3.04"/>
    <n v="9.8800000000000008"/>
    <n v="5.58"/>
    <n v="2.41"/>
    <n v="228.83"/>
    <x v="0"/>
    <x v="0"/>
  </r>
  <r>
    <n v="846"/>
    <x v="147"/>
    <s v="C1018"/>
    <x v="2"/>
    <x v="1"/>
    <n v="1"/>
    <n v="80"/>
    <n v="80"/>
    <n v="30"/>
    <n v="30"/>
    <n v="50"/>
    <x v="4"/>
    <x v="1"/>
    <x v="2"/>
    <n v="19.079999999999998"/>
    <n v="36.39"/>
    <n v="5.7"/>
    <n v="5.42"/>
    <n v="4.92"/>
    <n v="14.65"/>
    <n v="5.24"/>
    <n v="1.22"/>
    <n v="-42.62"/>
    <x v="2"/>
    <x v="0"/>
  </r>
  <r>
    <n v="847"/>
    <x v="117"/>
    <s v="C1196"/>
    <x v="0"/>
    <x v="0"/>
    <n v="1"/>
    <n v="200"/>
    <n v="200"/>
    <n v="90"/>
    <n v="90"/>
    <n v="110"/>
    <x v="2"/>
    <x v="2"/>
    <x v="1"/>
    <n v="14.28"/>
    <n v="47.06"/>
    <n v="8.74"/>
    <n v="28.16"/>
    <n v="2.29"/>
    <n v="13.96"/>
    <n v="4.7699999999999996"/>
    <n v="1.6"/>
    <n v="-10.86"/>
    <x v="2"/>
    <x v="1"/>
  </r>
  <r>
    <n v="848"/>
    <x v="124"/>
    <s v="C1052"/>
    <x v="7"/>
    <x v="2"/>
    <n v="4"/>
    <n v="150"/>
    <n v="600"/>
    <n v="70"/>
    <n v="280"/>
    <n v="320"/>
    <x v="0"/>
    <x v="2"/>
    <x v="2"/>
    <n v="20.14"/>
    <n v="58.87"/>
    <n v="10.79"/>
    <n v="27.07"/>
    <n v="0.38"/>
    <n v="11.39"/>
    <n v="2.68"/>
    <n v="2.2000000000000002"/>
    <n v="186.48"/>
    <x v="2"/>
    <x v="0"/>
  </r>
  <r>
    <n v="849"/>
    <x v="129"/>
    <s v="C1199"/>
    <x v="2"/>
    <x v="1"/>
    <n v="1"/>
    <n v="80"/>
    <n v="80"/>
    <n v="30"/>
    <n v="30"/>
    <n v="50"/>
    <x v="4"/>
    <x v="4"/>
    <x v="3"/>
    <n v="11.62"/>
    <n v="26.33"/>
    <n v="12.63"/>
    <n v="1.55"/>
    <n v="3.13"/>
    <n v="11.89"/>
    <n v="7.37"/>
    <n v="1.75"/>
    <n v="-26.27"/>
    <x v="1"/>
    <x v="0"/>
  </r>
  <r>
    <n v="850"/>
    <x v="20"/>
    <s v="C1011"/>
    <x v="2"/>
    <x v="1"/>
    <n v="3"/>
    <n v="80"/>
    <n v="240"/>
    <n v="30"/>
    <n v="90"/>
    <n v="150"/>
    <x v="0"/>
    <x v="2"/>
    <x v="4"/>
    <n v="15.63"/>
    <n v="56.43"/>
    <n v="17.29"/>
    <n v="8.6300000000000008"/>
    <n v="2.54"/>
    <n v="6.82"/>
    <n v="5.0199999999999996"/>
    <n v="2.59"/>
    <n v="35.049999999999997"/>
    <x v="1"/>
    <x v="1"/>
  </r>
  <r>
    <n v="851"/>
    <x v="94"/>
    <s v="C1127"/>
    <x v="4"/>
    <x v="0"/>
    <n v="4"/>
    <n v="120"/>
    <n v="480"/>
    <n v="50"/>
    <n v="200"/>
    <n v="280"/>
    <x v="0"/>
    <x v="1"/>
    <x v="0"/>
    <n v="17.87"/>
    <n v="20.11"/>
    <n v="11.55"/>
    <n v="33.83"/>
    <n v="4.5599999999999996"/>
    <n v="7.16"/>
    <n v="3.46"/>
    <n v="1.08"/>
    <n v="180.38"/>
    <x v="0"/>
    <x v="1"/>
  </r>
  <r>
    <n v="852"/>
    <x v="121"/>
    <s v="C1202"/>
    <x v="3"/>
    <x v="2"/>
    <n v="3"/>
    <n v="180"/>
    <n v="540"/>
    <n v="90"/>
    <n v="270"/>
    <n v="270"/>
    <x v="4"/>
    <x v="4"/>
    <x v="1"/>
    <n v="33.56"/>
    <n v="34.1"/>
    <n v="15.81"/>
    <n v="19.79"/>
    <n v="3.03"/>
    <n v="12.56"/>
    <n v="4.62"/>
    <n v="2.92"/>
    <n v="143.61000000000001"/>
    <x v="2"/>
    <x v="1"/>
  </r>
  <r>
    <n v="853"/>
    <x v="131"/>
    <s v="C1261"/>
    <x v="0"/>
    <x v="0"/>
    <n v="1"/>
    <n v="200"/>
    <n v="200"/>
    <n v="90"/>
    <n v="90"/>
    <n v="110"/>
    <x v="0"/>
    <x v="1"/>
    <x v="3"/>
    <n v="22.49"/>
    <n v="58.88"/>
    <n v="19.510000000000002"/>
    <n v="31.67"/>
    <n v="4.88"/>
    <n v="5.58"/>
    <n v="5.03"/>
    <n v="2.0299999999999998"/>
    <n v="-40.07"/>
    <x v="1"/>
    <x v="1"/>
  </r>
  <r>
    <n v="854"/>
    <x v="86"/>
    <s v="C1296"/>
    <x v="1"/>
    <x v="0"/>
    <n v="1"/>
    <n v="220"/>
    <n v="220"/>
    <n v="100"/>
    <n v="100"/>
    <n v="120"/>
    <x v="2"/>
    <x v="1"/>
    <x v="1"/>
    <n v="24.83"/>
    <n v="40.82"/>
    <n v="9.65"/>
    <n v="10.66"/>
    <n v="0.99"/>
    <n v="7.72"/>
    <n v="4.87"/>
    <n v="0.38"/>
    <n v="20.079999999999998"/>
    <x v="0"/>
    <x v="0"/>
  </r>
  <r>
    <n v="855"/>
    <x v="158"/>
    <s v="C1245"/>
    <x v="1"/>
    <x v="0"/>
    <n v="1"/>
    <n v="220"/>
    <n v="220"/>
    <n v="100"/>
    <n v="100"/>
    <n v="120"/>
    <x v="0"/>
    <x v="3"/>
    <x v="0"/>
    <n v="33.01"/>
    <n v="47.23"/>
    <n v="15.13"/>
    <n v="26.15"/>
    <n v="4.4000000000000004"/>
    <n v="12.51"/>
    <n v="5.8"/>
    <n v="1.39"/>
    <n v="-25.62"/>
    <x v="2"/>
    <x v="0"/>
  </r>
  <r>
    <n v="856"/>
    <x v="8"/>
    <s v="C1140"/>
    <x v="6"/>
    <x v="0"/>
    <n v="3"/>
    <n v="180"/>
    <n v="540"/>
    <n v="75"/>
    <n v="225"/>
    <n v="315"/>
    <x v="3"/>
    <x v="3"/>
    <x v="1"/>
    <n v="16.91"/>
    <n v="46.39"/>
    <n v="8.6"/>
    <n v="20.82"/>
    <n v="3.58"/>
    <n v="5.61"/>
    <n v="3.53"/>
    <n v="2.69"/>
    <n v="206.87"/>
    <x v="2"/>
    <x v="1"/>
  </r>
  <r>
    <n v="857"/>
    <x v="72"/>
    <s v="C1300"/>
    <x v="1"/>
    <x v="0"/>
    <n v="2"/>
    <n v="220"/>
    <n v="440"/>
    <n v="100"/>
    <n v="200"/>
    <n v="240"/>
    <x v="4"/>
    <x v="1"/>
    <x v="1"/>
    <n v="24.6"/>
    <n v="52.95"/>
    <n v="11.51"/>
    <n v="4.54"/>
    <n v="0.5"/>
    <n v="6.21"/>
    <n v="4.87"/>
    <n v="2.64"/>
    <n v="132.18"/>
    <x v="0"/>
    <x v="1"/>
  </r>
  <r>
    <n v="858"/>
    <x v="169"/>
    <s v="C1148"/>
    <x v="7"/>
    <x v="2"/>
    <n v="4"/>
    <n v="150"/>
    <n v="600"/>
    <n v="70"/>
    <n v="280"/>
    <n v="320"/>
    <x v="4"/>
    <x v="2"/>
    <x v="3"/>
    <n v="26.54"/>
    <n v="43.74"/>
    <n v="10.15"/>
    <n v="2.85"/>
    <n v="1.6"/>
    <n v="6.87"/>
    <n v="4.51"/>
    <n v="2.41"/>
    <n v="221.33"/>
    <x v="1"/>
    <x v="0"/>
  </r>
  <r>
    <n v="859"/>
    <x v="33"/>
    <s v="C1135"/>
    <x v="6"/>
    <x v="0"/>
    <n v="1"/>
    <n v="180"/>
    <n v="180"/>
    <n v="75"/>
    <n v="75"/>
    <n v="105"/>
    <x v="4"/>
    <x v="4"/>
    <x v="1"/>
    <n v="17.54"/>
    <n v="36.57"/>
    <n v="12.21"/>
    <n v="17.100000000000001"/>
    <n v="3.36"/>
    <n v="12.99"/>
    <n v="6.57"/>
    <n v="0.45"/>
    <n v="-1.79"/>
    <x v="0"/>
    <x v="1"/>
  </r>
  <r>
    <n v="860"/>
    <x v="74"/>
    <s v="C1254"/>
    <x v="4"/>
    <x v="0"/>
    <n v="1"/>
    <n v="120"/>
    <n v="120"/>
    <n v="50"/>
    <n v="50"/>
    <n v="70"/>
    <x v="4"/>
    <x v="1"/>
    <x v="2"/>
    <n v="37.700000000000003"/>
    <n v="57.81"/>
    <n v="19.3"/>
    <n v="24.92"/>
    <n v="2.85"/>
    <n v="3.55"/>
    <n v="7.34"/>
    <n v="2.19"/>
    <n v="-85.66"/>
    <x v="0"/>
    <x v="1"/>
  </r>
  <r>
    <n v="861"/>
    <x v="64"/>
    <s v="C1042"/>
    <x v="3"/>
    <x v="2"/>
    <n v="2"/>
    <n v="180"/>
    <n v="360"/>
    <n v="90"/>
    <n v="180"/>
    <n v="180"/>
    <x v="3"/>
    <x v="1"/>
    <x v="1"/>
    <n v="35.96"/>
    <n v="18.55"/>
    <n v="13.8"/>
    <n v="5.0999999999999996"/>
    <n v="0.71"/>
    <n v="10.59"/>
    <n v="2.81"/>
    <n v="2.35"/>
    <n v="90.13"/>
    <x v="0"/>
    <x v="1"/>
  </r>
  <r>
    <n v="862"/>
    <x v="61"/>
    <s v="C1177"/>
    <x v="7"/>
    <x v="2"/>
    <n v="3"/>
    <n v="150"/>
    <n v="450"/>
    <n v="70"/>
    <n v="210"/>
    <n v="240"/>
    <x v="0"/>
    <x v="3"/>
    <x v="3"/>
    <n v="21.42"/>
    <n v="54.34"/>
    <n v="16.670000000000002"/>
    <n v="17.57"/>
    <n v="4.97"/>
    <n v="9.52"/>
    <n v="3.52"/>
    <n v="0.65"/>
    <n v="111.34"/>
    <x v="1"/>
    <x v="1"/>
  </r>
  <r>
    <n v="863"/>
    <x v="81"/>
    <s v="C1252"/>
    <x v="6"/>
    <x v="0"/>
    <n v="1"/>
    <n v="180"/>
    <n v="180"/>
    <n v="75"/>
    <n v="75"/>
    <n v="105"/>
    <x v="0"/>
    <x v="2"/>
    <x v="0"/>
    <n v="20.7"/>
    <n v="53.61"/>
    <n v="12.1"/>
    <n v="31.55"/>
    <n v="2.46"/>
    <n v="9.44"/>
    <n v="3.91"/>
    <n v="1.71"/>
    <n v="-30.48"/>
    <x v="2"/>
    <x v="1"/>
  </r>
  <r>
    <n v="864"/>
    <x v="26"/>
    <s v="C1168"/>
    <x v="4"/>
    <x v="0"/>
    <n v="4"/>
    <n v="120"/>
    <n v="480"/>
    <n v="50"/>
    <n v="200"/>
    <n v="280"/>
    <x v="4"/>
    <x v="3"/>
    <x v="3"/>
    <n v="22.41"/>
    <n v="49.75"/>
    <n v="18.510000000000002"/>
    <n v="21.17"/>
    <n v="2.16"/>
    <n v="2.52"/>
    <n v="7.27"/>
    <n v="1.44"/>
    <n v="154.77000000000001"/>
    <x v="1"/>
    <x v="1"/>
  </r>
  <r>
    <n v="865"/>
    <x v="18"/>
    <s v="C1094"/>
    <x v="0"/>
    <x v="0"/>
    <n v="3"/>
    <n v="200"/>
    <n v="600"/>
    <n v="90"/>
    <n v="270"/>
    <n v="330"/>
    <x v="1"/>
    <x v="4"/>
    <x v="2"/>
    <n v="23.7"/>
    <n v="24.18"/>
    <n v="5.99"/>
    <n v="10.14"/>
    <n v="3.33"/>
    <n v="3.57"/>
    <n v="4.17"/>
    <n v="1.1299999999999999"/>
    <n v="253.79"/>
    <x v="2"/>
    <x v="0"/>
  </r>
  <r>
    <n v="866"/>
    <x v="59"/>
    <s v="C1133"/>
    <x v="6"/>
    <x v="0"/>
    <n v="4"/>
    <n v="180"/>
    <n v="720"/>
    <n v="75"/>
    <n v="300"/>
    <n v="420"/>
    <x v="3"/>
    <x v="3"/>
    <x v="4"/>
    <n v="26.49"/>
    <n v="31.57"/>
    <n v="19.95"/>
    <n v="8.49"/>
    <n v="1.97"/>
    <n v="9.41"/>
    <n v="1.55"/>
    <n v="2.4500000000000002"/>
    <n v="318.12"/>
    <x v="2"/>
    <x v="1"/>
  </r>
  <r>
    <n v="867"/>
    <x v="33"/>
    <s v="C1314"/>
    <x v="1"/>
    <x v="0"/>
    <n v="4"/>
    <n v="220"/>
    <n v="880"/>
    <n v="100"/>
    <n v="400"/>
    <n v="480"/>
    <x v="3"/>
    <x v="4"/>
    <x v="5"/>
    <n v="20.16"/>
    <n v="54.04"/>
    <n v="7.1"/>
    <n v="9.61"/>
    <n v="1.42"/>
    <n v="8.32"/>
    <n v="5.0999999999999996"/>
    <n v="2.34"/>
    <n v="371.91"/>
    <x v="1"/>
    <x v="0"/>
  </r>
  <r>
    <n v="868"/>
    <x v="147"/>
    <s v="C1117"/>
    <x v="4"/>
    <x v="0"/>
    <n v="1"/>
    <n v="120"/>
    <n v="120"/>
    <n v="50"/>
    <n v="50"/>
    <n v="70"/>
    <x v="4"/>
    <x v="3"/>
    <x v="3"/>
    <n v="33.56"/>
    <n v="38.14"/>
    <n v="19.13"/>
    <n v="27.77"/>
    <n v="3.95"/>
    <n v="11.04"/>
    <n v="2.41"/>
    <n v="1.01"/>
    <n v="-67.010000000000005"/>
    <x v="1"/>
    <x v="0"/>
  </r>
  <r>
    <n v="869"/>
    <x v="65"/>
    <s v="C1311"/>
    <x v="2"/>
    <x v="1"/>
    <n v="4"/>
    <n v="80"/>
    <n v="320"/>
    <n v="30"/>
    <n v="120"/>
    <n v="200"/>
    <x v="4"/>
    <x v="4"/>
    <x v="4"/>
    <n v="22.66"/>
    <n v="34.47"/>
    <n v="9.34"/>
    <n v="31.86"/>
    <n v="1.33"/>
    <n v="6.9"/>
    <n v="5.86"/>
    <n v="1.18"/>
    <n v="86.4"/>
    <x v="0"/>
    <x v="1"/>
  </r>
  <r>
    <n v="870"/>
    <x v="171"/>
    <s v="C1005"/>
    <x v="7"/>
    <x v="2"/>
    <n v="1"/>
    <n v="150"/>
    <n v="150"/>
    <n v="70"/>
    <n v="70"/>
    <n v="80"/>
    <x v="2"/>
    <x v="3"/>
    <x v="1"/>
    <n v="35.94"/>
    <n v="24.74"/>
    <n v="15.81"/>
    <n v="24.21"/>
    <n v="0.74"/>
    <n v="6.47"/>
    <n v="6.16"/>
    <n v="1.7"/>
    <n v="-35.770000000000003"/>
    <x v="1"/>
    <x v="1"/>
  </r>
  <r>
    <n v="871"/>
    <x v="165"/>
    <s v="C1208"/>
    <x v="3"/>
    <x v="2"/>
    <n v="4"/>
    <n v="180"/>
    <n v="720"/>
    <n v="90"/>
    <n v="360"/>
    <n v="360"/>
    <x v="0"/>
    <x v="3"/>
    <x v="1"/>
    <n v="36.01"/>
    <n v="56.77"/>
    <n v="16.14"/>
    <n v="26.16"/>
    <n v="3.1"/>
    <n v="7.34"/>
    <n v="8"/>
    <n v="2.93"/>
    <n v="203.55"/>
    <x v="2"/>
    <x v="0"/>
  </r>
  <r>
    <n v="872"/>
    <x v="88"/>
    <s v="C1339"/>
    <x v="4"/>
    <x v="0"/>
    <n v="3"/>
    <n v="120"/>
    <n v="360"/>
    <n v="50"/>
    <n v="150"/>
    <n v="210"/>
    <x v="2"/>
    <x v="0"/>
    <x v="2"/>
    <n v="28.49"/>
    <n v="39.200000000000003"/>
    <n v="9.08"/>
    <n v="31.65"/>
    <n v="2.85"/>
    <n v="12.64"/>
    <n v="4.54"/>
    <n v="0.28999999999999998"/>
    <n v="81.260000000000005"/>
    <x v="0"/>
    <x v="0"/>
  </r>
  <r>
    <n v="873"/>
    <x v="173"/>
    <s v="C1072"/>
    <x v="5"/>
    <x v="0"/>
    <n v="1"/>
    <n v="250"/>
    <n v="250"/>
    <n v="110"/>
    <n v="110"/>
    <n v="140"/>
    <x v="2"/>
    <x v="4"/>
    <x v="3"/>
    <n v="20.89"/>
    <n v="32.840000000000003"/>
    <n v="12.86"/>
    <n v="28.53"/>
    <n v="0.18"/>
    <n v="8.93"/>
    <n v="2.96"/>
    <n v="1.87"/>
    <n v="30.94"/>
    <x v="2"/>
    <x v="0"/>
  </r>
  <r>
    <n v="874"/>
    <x v="144"/>
    <s v="C1174"/>
    <x v="7"/>
    <x v="2"/>
    <n v="3"/>
    <n v="150"/>
    <n v="450"/>
    <n v="70"/>
    <n v="210"/>
    <n v="240"/>
    <x v="3"/>
    <x v="1"/>
    <x v="2"/>
    <n v="14.95"/>
    <n v="44.06"/>
    <n v="13.96"/>
    <n v="22.71"/>
    <n v="1.83"/>
    <n v="13.3"/>
    <n v="2.09"/>
    <n v="2.66"/>
    <n v="124.44"/>
    <x v="1"/>
    <x v="0"/>
  </r>
  <r>
    <n v="875"/>
    <x v="84"/>
    <s v="C1012"/>
    <x v="4"/>
    <x v="0"/>
    <n v="1"/>
    <n v="120"/>
    <n v="120"/>
    <n v="50"/>
    <n v="50"/>
    <n v="70"/>
    <x v="3"/>
    <x v="0"/>
    <x v="0"/>
    <n v="26.5"/>
    <n v="17.62"/>
    <n v="19.75"/>
    <n v="13.08"/>
    <n v="3.96"/>
    <n v="2.16"/>
    <n v="7.52"/>
    <n v="1.51"/>
    <n v="-22.1"/>
    <x v="1"/>
    <x v="0"/>
  </r>
  <r>
    <n v="876"/>
    <x v="120"/>
    <s v="C1225"/>
    <x v="3"/>
    <x v="2"/>
    <n v="1"/>
    <n v="180"/>
    <n v="180"/>
    <n v="90"/>
    <n v="90"/>
    <n v="90"/>
    <x v="0"/>
    <x v="3"/>
    <x v="4"/>
    <n v="26.26"/>
    <n v="17.8"/>
    <n v="9.08"/>
    <n v="2.54"/>
    <n v="4.88"/>
    <n v="3.83"/>
    <n v="6.09"/>
    <n v="3"/>
    <n v="16.52"/>
    <x v="1"/>
    <x v="0"/>
  </r>
  <r>
    <n v="877"/>
    <x v="47"/>
    <s v="C1149"/>
    <x v="2"/>
    <x v="1"/>
    <n v="1"/>
    <n v="80"/>
    <n v="80"/>
    <n v="30"/>
    <n v="30"/>
    <n v="50"/>
    <x v="2"/>
    <x v="0"/>
    <x v="0"/>
    <n v="27.37"/>
    <n v="39.35"/>
    <n v="18.3"/>
    <n v="20.27"/>
    <n v="1.72"/>
    <n v="10.88"/>
    <n v="4.8"/>
    <n v="2.6"/>
    <n v="-75.290000000000006"/>
    <x v="2"/>
    <x v="1"/>
  </r>
  <r>
    <n v="878"/>
    <x v="91"/>
    <s v="C1041"/>
    <x v="7"/>
    <x v="2"/>
    <n v="4"/>
    <n v="150"/>
    <n v="600"/>
    <n v="70"/>
    <n v="280"/>
    <n v="320"/>
    <x v="4"/>
    <x v="4"/>
    <x v="5"/>
    <n v="12.96"/>
    <n v="36.479999999999997"/>
    <n v="9.9700000000000006"/>
    <n v="32.46"/>
    <n v="3.06"/>
    <n v="5.01"/>
    <n v="1.04"/>
    <n v="2.39"/>
    <n v="216.63"/>
    <x v="0"/>
    <x v="0"/>
  </r>
  <r>
    <n v="879"/>
    <x v="13"/>
    <s v="C1350"/>
    <x v="7"/>
    <x v="2"/>
    <n v="1"/>
    <n v="150"/>
    <n v="150"/>
    <n v="70"/>
    <n v="70"/>
    <n v="80"/>
    <x v="3"/>
    <x v="0"/>
    <x v="4"/>
    <n v="29.76"/>
    <n v="57.15"/>
    <n v="7.77"/>
    <n v="23.86"/>
    <n v="4.2300000000000004"/>
    <n v="14.62"/>
    <n v="3.71"/>
    <n v="0.7"/>
    <n v="-61.8"/>
    <x v="1"/>
    <x v="1"/>
  </r>
  <r>
    <n v="880"/>
    <x v="25"/>
    <s v="C1058"/>
    <x v="7"/>
    <x v="2"/>
    <n v="3"/>
    <n v="150"/>
    <n v="450"/>
    <n v="70"/>
    <n v="210"/>
    <n v="240"/>
    <x v="2"/>
    <x v="0"/>
    <x v="4"/>
    <n v="22.74"/>
    <n v="46.21"/>
    <n v="10.29"/>
    <n v="9.23"/>
    <n v="4.62"/>
    <n v="11.57"/>
    <n v="7.41"/>
    <n v="0.96"/>
    <n v="126.97"/>
    <x v="1"/>
    <x v="0"/>
  </r>
  <r>
    <n v="881"/>
    <x v="45"/>
    <s v="C1100"/>
    <x v="0"/>
    <x v="0"/>
    <n v="2"/>
    <n v="200"/>
    <n v="400"/>
    <n v="90"/>
    <n v="180"/>
    <n v="220"/>
    <x v="3"/>
    <x v="0"/>
    <x v="3"/>
    <n v="25.66"/>
    <n v="16.71"/>
    <n v="15.21"/>
    <n v="8.57"/>
    <n v="1.71"/>
    <n v="12.7"/>
    <n v="6.62"/>
    <n v="2"/>
    <n v="130.82"/>
    <x v="0"/>
    <x v="1"/>
  </r>
  <r>
    <n v="882"/>
    <x v="64"/>
    <s v="C1343"/>
    <x v="5"/>
    <x v="0"/>
    <n v="2"/>
    <n v="250"/>
    <n v="500"/>
    <n v="110"/>
    <n v="220"/>
    <n v="280"/>
    <x v="2"/>
    <x v="1"/>
    <x v="2"/>
    <n v="34.47"/>
    <n v="35.49"/>
    <n v="19.3"/>
    <n v="10.62"/>
    <n v="2.56"/>
    <n v="5.05"/>
    <n v="7.49"/>
    <n v="2.65"/>
    <n v="162.37"/>
    <x v="0"/>
    <x v="0"/>
  </r>
  <r>
    <n v="883"/>
    <x v="99"/>
    <s v="C1331"/>
    <x v="3"/>
    <x v="2"/>
    <n v="2"/>
    <n v="180"/>
    <n v="360"/>
    <n v="90"/>
    <n v="180"/>
    <n v="180"/>
    <x v="1"/>
    <x v="1"/>
    <x v="2"/>
    <n v="31"/>
    <n v="22.37"/>
    <n v="8.4600000000000009"/>
    <n v="17.45"/>
    <n v="2.44"/>
    <n v="10.71"/>
    <n v="6.68"/>
    <n v="1.23"/>
    <n v="79.66"/>
    <x v="1"/>
    <x v="0"/>
  </r>
  <r>
    <n v="884"/>
    <x v="125"/>
    <s v="C1035"/>
    <x v="3"/>
    <x v="2"/>
    <n v="2"/>
    <n v="180"/>
    <n v="360"/>
    <n v="90"/>
    <n v="180"/>
    <n v="180"/>
    <x v="2"/>
    <x v="2"/>
    <x v="1"/>
    <n v="29.78"/>
    <n v="22.6"/>
    <n v="16.59"/>
    <n v="14.06"/>
    <n v="2.65"/>
    <n v="11.38"/>
    <n v="6.51"/>
    <n v="1.69"/>
    <n v="74.739999999999995"/>
    <x v="0"/>
    <x v="1"/>
  </r>
  <r>
    <n v="885"/>
    <x v="79"/>
    <s v="C1275"/>
    <x v="6"/>
    <x v="0"/>
    <n v="1"/>
    <n v="180"/>
    <n v="180"/>
    <n v="75"/>
    <n v="75"/>
    <n v="105"/>
    <x v="3"/>
    <x v="2"/>
    <x v="3"/>
    <n v="28.46"/>
    <n v="38.909999999999997"/>
    <n v="11.94"/>
    <n v="22.58"/>
    <n v="2.58"/>
    <n v="4.1500000000000004"/>
    <n v="2.8"/>
    <n v="2.68"/>
    <n v="-9.1"/>
    <x v="2"/>
    <x v="1"/>
  </r>
  <r>
    <n v="886"/>
    <x v="107"/>
    <s v="C1069"/>
    <x v="6"/>
    <x v="0"/>
    <n v="3"/>
    <n v="180"/>
    <n v="540"/>
    <n v="75"/>
    <n v="225"/>
    <n v="315"/>
    <x v="1"/>
    <x v="0"/>
    <x v="0"/>
    <n v="11.29"/>
    <n v="48.45"/>
    <n v="10.050000000000001"/>
    <n v="14.38"/>
    <n v="3.69"/>
    <n v="7.95"/>
    <n v="7.06"/>
    <n v="2.0699999999999998"/>
    <n v="210.06"/>
    <x v="2"/>
    <x v="0"/>
  </r>
  <r>
    <n v="887"/>
    <x v="120"/>
    <s v="C1040"/>
    <x v="6"/>
    <x v="0"/>
    <n v="1"/>
    <n v="180"/>
    <n v="180"/>
    <n v="75"/>
    <n v="75"/>
    <n v="105"/>
    <x v="0"/>
    <x v="2"/>
    <x v="4"/>
    <n v="16.510000000000002"/>
    <n v="31.42"/>
    <n v="9.06"/>
    <n v="5.49"/>
    <n v="2.27"/>
    <n v="3.78"/>
    <n v="7.34"/>
    <n v="2.35"/>
    <n v="26.78"/>
    <x v="2"/>
    <x v="1"/>
  </r>
  <r>
    <n v="888"/>
    <x v="73"/>
    <s v="C1209"/>
    <x v="7"/>
    <x v="2"/>
    <n v="4"/>
    <n v="150"/>
    <n v="600"/>
    <n v="70"/>
    <n v="280"/>
    <n v="320"/>
    <x v="4"/>
    <x v="0"/>
    <x v="1"/>
    <n v="28.98"/>
    <n v="30.34"/>
    <n v="11.69"/>
    <n v="1.55"/>
    <n v="4.8600000000000003"/>
    <n v="12.25"/>
    <n v="2.2799999999999998"/>
    <n v="0.14000000000000001"/>
    <n v="227.91"/>
    <x v="2"/>
    <x v="0"/>
  </r>
  <r>
    <n v="889"/>
    <x v="123"/>
    <s v="C1169"/>
    <x v="0"/>
    <x v="0"/>
    <n v="1"/>
    <n v="200"/>
    <n v="200"/>
    <n v="90"/>
    <n v="90"/>
    <n v="110"/>
    <x v="2"/>
    <x v="0"/>
    <x v="1"/>
    <n v="26.23"/>
    <n v="15.06"/>
    <n v="11.68"/>
    <n v="7.39"/>
    <n v="1.07"/>
    <n v="12.34"/>
    <n v="5.6"/>
    <n v="0.57999999999999996"/>
    <n v="30.05"/>
    <x v="2"/>
    <x v="1"/>
  </r>
  <r>
    <n v="890"/>
    <x v="179"/>
    <s v="C1233"/>
    <x v="6"/>
    <x v="0"/>
    <n v="2"/>
    <n v="180"/>
    <n v="360"/>
    <n v="75"/>
    <n v="150"/>
    <n v="210"/>
    <x v="3"/>
    <x v="4"/>
    <x v="1"/>
    <n v="29.57"/>
    <n v="45.58"/>
    <n v="17.93"/>
    <n v="9.9600000000000009"/>
    <n v="1.35"/>
    <n v="4.12"/>
    <n v="4.58"/>
    <n v="1.96"/>
    <n v="94.95"/>
    <x v="0"/>
    <x v="1"/>
  </r>
  <r>
    <n v="891"/>
    <x v="86"/>
    <s v="C1101"/>
    <x v="5"/>
    <x v="0"/>
    <n v="4"/>
    <n v="250"/>
    <n v="1000"/>
    <n v="110"/>
    <n v="440"/>
    <n v="560"/>
    <x v="2"/>
    <x v="1"/>
    <x v="3"/>
    <n v="32.880000000000003"/>
    <n v="57"/>
    <n v="12.43"/>
    <n v="30.07"/>
    <n v="3.28"/>
    <n v="9.9499999999999993"/>
    <n v="6.5"/>
    <n v="2"/>
    <n v="405.89"/>
    <x v="1"/>
    <x v="0"/>
  </r>
  <r>
    <n v="892"/>
    <x v="24"/>
    <s v="C1035"/>
    <x v="5"/>
    <x v="0"/>
    <n v="3"/>
    <n v="250"/>
    <n v="750"/>
    <n v="110"/>
    <n v="330"/>
    <n v="420"/>
    <x v="3"/>
    <x v="4"/>
    <x v="0"/>
    <n v="35.21"/>
    <n v="46.5"/>
    <n v="19.809999999999999"/>
    <n v="20.46"/>
    <n v="1.92"/>
    <n v="8.57"/>
    <n v="3.74"/>
    <n v="0.61"/>
    <n v="283.18"/>
    <x v="2"/>
    <x v="0"/>
  </r>
  <r>
    <n v="893"/>
    <x v="127"/>
    <s v="C1056"/>
    <x v="6"/>
    <x v="0"/>
    <n v="1"/>
    <n v="180"/>
    <n v="180"/>
    <n v="75"/>
    <n v="75"/>
    <n v="105"/>
    <x v="0"/>
    <x v="1"/>
    <x v="2"/>
    <n v="11.84"/>
    <n v="19.66"/>
    <n v="13.94"/>
    <n v="24.09"/>
    <n v="4.66"/>
    <n v="7.07"/>
    <n v="3.26"/>
    <n v="2"/>
    <n v="18.48"/>
    <x v="0"/>
    <x v="1"/>
  </r>
  <r>
    <n v="894"/>
    <x v="64"/>
    <s v="C1339"/>
    <x v="0"/>
    <x v="0"/>
    <n v="1"/>
    <n v="200"/>
    <n v="200"/>
    <n v="90"/>
    <n v="90"/>
    <n v="110"/>
    <x v="3"/>
    <x v="1"/>
    <x v="1"/>
    <n v="37.18"/>
    <n v="57.77"/>
    <n v="5.33"/>
    <n v="18.399999999999999"/>
    <n v="1.04"/>
    <n v="11.44"/>
    <n v="3.44"/>
    <n v="2.15"/>
    <n v="-26.75"/>
    <x v="1"/>
    <x v="0"/>
  </r>
  <r>
    <n v="895"/>
    <x v="20"/>
    <s v="C1098"/>
    <x v="7"/>
    <x v="2"/>
    <n v="2"/>
    <n v="150"/>
    <n v="300"/>
    <n v="70"/>
    <n v="140"/>
    <n v="160"/>
    <x v="1"/>
    <x v="2"/>
    <x v="3"/>
    <n v="30.52"/>
    <n v="59.74"/>
    <n v="10.74"/>
    <n v="12.72"/>
    <n v="2.56"/>
    <n v="14.56"/>
    <n v="5.79"/>
    <n v="1"/>
    <n v="22.37"/>
    <x v="1"/>
    <x v="0"/>
  </r>
  <r>
    <n v="896"/>
    <x v="15"/>
    <s v="C1194"/>
    <x v="2"/>
    <x v="1"/>
    <n v="1"/>
    <n v="80"/>
    <n v="80"/>
    <n v="30"/>
    <n v="30"/>
    <n v="50"/>
    <x v="2"/>
    <x v="2"/>
    <x v="4"/>
    <n v="33.53"/>
    <n v="36.950000000000003"/>
    <n v="9.5299999999999994"/>
    <n v="22.36"/>
    <n v="2.5099999999999998"/>
    <n v="9.14"/>
    <n v="3.11"/>
    <n v="2.67"/>
    <n v="-69.8"/>
    <x v="2"/>
    <x v="1"/>
  </r>
  <r>
    <n v="897"/>
    <x v="175"/>
    <s v="C1346"/>
    <x v="6"/>
    <x v="0"/>
    <n v="3"/>
    <n v="180"/>
    <n v="540"/>
    <n v="75"/>
    <n v="225"/>
    <n v="315"/>
    <x v="0"/>
    <x v="2"/>
    <x v="4"/>
    <n v="11.95"/>
    <n v="47.59"/>
    <n v="5.39"/>
    <n v="4.68"/>
    <n v="1.86"/>
    <n v="8.86"/>
    <n v="1.06"/>
    <n v="2.56"/>
    <n v="231.05"/>
    <x v="2"/>
    <x v="0"/>
  </r>
  <r>
    <n v="898"/>
    <x v="148"/>
    <s v="C1318"/>
    <x v="1"/>
    <x v="0"/>
    <n v="3"/>
    <n v="220"/>
    <n v="660"/>
    <n v="100"/>
    <n v="300"/>
    <n v="360"/>
    <x v="0"/>
    <x v="3"/>
    <x v="4"/>
    <n v="19.55"/>
    <n v="44.5"/>
    <n v="14.26"/>
    <n v="31.7"/>
    <n v="1.19"/>
    <n v="3.5"/>
    <n v="7.03"/>
    <n v="2.5"/>
    <n v="235.77"/>
    <x v="2"/>
    <x v="0"/>
  </r>
  <r>
    <n v="899"/>
    <x v="146"/>
    <s v="C1040"/>
    <x v="2"/>
    <x v="1"/>
    <n v="1"/>
    <n v="80"/>
    <n v="80"/>
    <n v="30"/>
    <n v="30"/>
    <n v="50"/>
    <x v="3"/>
    <x v="0"/>
    <x v="4"/>
    <n v="18.55"/>
    <n v="45.18"/>
    <n v="9.81"/>
    <n v="12.96"/>
    <n v="3.4"/>
    <n v="8.17"/>
    <n v="6.11"/>
    <n v="1.95"/>
    <n v="-56.13"/>
    <x v="2"/>
    <x v="0"/>
  </r>
  <r>
    <n v="900"/>
    <x v="129"/>
    <s v="C1247"/>
    <x v="7"/>
    <x v="2"/>
    <n v="2"/>
    <n v="150"/>
    <n v="300"/>
    <n v="70"/>
    <n v="140"/>
    <n v="160"/>
    <x v="4"/>
    <x v="1"/>
    <x v="4"/>
    <n v="10.31"/>
    <n v="28.59"/>
    <n v="5.18"/>
    <n v="11.24"/>
    <n v="3.24"/>
    <n v="12.61"/>
    <n v="1.43"/>
    <n v="0.08"/>
    <n v="87.32"/>
    <x v="2"/>
    <x v="0"/>
  </r>
  <r>
    <n v="901"/>
    <x v="76"/>
    <s v="C1185"/>
    <x v="2"/>
    <x v="1"/>
    <n v="3"/>
    <n v="80"/>
    <n v="240"/>
    <n v="30"/>
    <n v="90"/>
    <n v="150"/>
    <x v="1"/>
    <x v="1"/>
    <x v="0"/>
    <n v="26.6"/>
    <n v="40.6"/>
    <n v="10.7"/>
    <n v="14.48"/>
    <n v="2.83"/>
    <n v="9.19"/>
    <n v="5.65"/>
    <n v="1.69"/>
    <n v="38.26"/>
    <x v="2"/>
    <x v="1"/>
  </r>
  <r>
    <n v="902"/>
    <x v="45"/>
    <s v="C1092"/>
    <x v="4"/>
    <x v="0"/>
    <n v="3"/>
    <n v="120"/>
    <n v="360"/>
    <n v="50"/>
    <n v="150"/>
    <n v="210"/>
    <x v="0"/>
    <x v="0"/>
    <x v="5"/>
    <n v="30.08"/>
    <n v="39.369999999999997"/>
    <n v="6.33"/>
    <n v="25.81"/>
    <n v="2.95"/>
    <n v="14.35"/>
    <n v="7.63"/>
    <n v="2.06"/>
    <n v="81.42"/>
    <x v="2"/>
    <x v="1"/>
  </r>
  <r>
    <n v="903"/>
    <x v="1"/>
    <s v="C1154"/>
    <x v="0"/>
    <x v="0"/>
    <n v="4"/>
    <n v="200"/>
    <n v="800"/>
    <n v="90"/>
    <n v="360"/>
    <n v="440"/>
    <x v="0"/>
    <x v="0"/>
    <x v="2"/>
    <n v="29.29"/>
    <n v="20.04"/>
    <n v="6.65"/>
    <n v="5.93"/>
    <n v="4.51"/>
    <n v="9.48"/>
    <n v="1.93"/>
    <n v="0.51"/>
    <n v="361.66"/>
    <x v="0"/>
    <x v="1"/>
  </r>
  <r>
    <n v="904"/>
    <x v="155"/>
    <s v="C1262"/>
    <x v="3"/>
    <x v="2"/>
    <n v="4"/>
    <n v="180"/>
    <n v="720"/>
    <n v="90"/>
    <n v="360"/>
    <n v="360"/>
    <x v="3"/>
    <x v="2"/>
    <x v="3"/>
    <n v="22.94"/>
    <n v="39.71"/>
    <n v="13.66"/>
    <n v="9.2799999999999994"/>
    <n v="0.57999999999999996"/>
    <n v="2.04"/>
    <n v="3.42"/>
    <n v="0.15"/>
    <n v="268.22000000000003"/>
    <x v="2"/>
    <x v="1"/>
  </r>
  <r>
    <n v="905"/>
    <x v="136"/>
    <s v="C1303"/>
    <x v="3"/>
    <x v="2"/>
    <n v="3"/>
    <n v="180"/>
    <n v="540"/>
    <n v="90"/>
    <n v="270"/>
    <n v="270"/>
    <x v="0"/>
    <x v="0"/>
    <x v="0"/>
    <n v="23.54"/>
    <n v="24.91"/>
    <n v="19.829999999999998"/>
    <n v="32.57"/>
    <n v="1.86"/>
    <n v="12.92"/>
    <n v="3.41"/>
    <n v="0.9"/>
    <n v="150.06"/>
    <x v="0"/>
    <x v="0"/>
  </r>
  <r>
    <n v="906"/>
    <x v="115"/>
    <s v="C1058"/>
    <x v="3"/>
    <x v="2"/>
    <n v="2"/>
    <n v="180"/>
    <n v="360"/>
    <n v="90"/>
    <n v="180"/>
    <n v="180"/>
    <x v="3"/>
    <x v="4"/>
    <x v="0"/>
    <n v="31.15"/>
    <n v="29.92"/>
    <n v="8.36"/>
    <n v="13.7"/>
    <n v="1.27"/>
    <n v="11.08"/>
    <n v="6.23"/>
    <n v="0.76"/>
    <n v="77.53"/>
    <x v="2"/>
    <x v="0"/>
  </r>
  <r>
    <n v="907"/>
    <x v="93"/>
    <s v="C1050"/>
    <x v="3"/>
    <x v="2"/>
    <n v="1"/>
    <n v="180"/>
    <n v="180"/>
    <n v="90"/>
    <n v="90"/>
    <n v="90"/>
    <x v="3"/>
    <x v="3"/>
    <x v="5"/>
    <n v="20.59"/>
    <n v="32.76"/>
    <n v="12.63"/>
    <n v="4.0199999999999996"/>
    <n v="1.3"/>
    <n v="10.89"/>
    <n v="4.08"/>
    <n v="1.72"/>
    <n v="2.0099999999999998"/>
    <x v="0"/>
    <x v="0"/>
  </r>
  <r>
    <n v="908"/>
    <x v="142"/>
    <s v="C1111"/>
    <x v="7"/>
    <x v="2"/>
    <n v="3"/>
    <n v="150"/>
    <n v="450"/>
    <n v="70"/>
    <n v="210"/>
    <n v="240"/>
    <x v="4"/>
    <x v="2"/>
    <x v="0"/>
    <n v="23.72"/>
    <n v="17.73"/>
    <n v="7.25"/>
    <n v="8.6999999999999993"/>
    <n v="3.83"/>
    <n v="7.73"/>
    <n v="7.21"/>
    <n v="2.87"/>
    <n v="160.96"/>
    <x v="2"/>
    <x v="0"/>
  </r>
  <r>
    <n v="909"/>
    <x v="86"/>
    <s v="C1186"/>
    <x v="5"/>
    <x v="0"/>
    <n v="2"/>
    <n v="250"/>
    <n v="500"/>
    <n v="110"/>
    <n v="220"/>
    <n v="280"/>
    <x v="4"/>
    <x v="2"/>
    <x v="4"/>
    <n v="14.92"/>
    <n v="24.06"/>
    <n v="6.16"/>
    <n v="17.21"/>
    <n v="0.44"/>
    <n v="2.38"/>
    <n v="1.1000000000000001"/>
    <n v="1.31"/>
    <n v="212.42"/>
    <x v="1"/>
    <x v="1"/>
  </r>
  <r>
    <n v="910"/>
    <x v="81"/>
    <s v="C1130"/>
    <x v="0"/>
    <x v="0"/>
    <n v="4"/>
    <n v="200"/>
    <n v="800"/>
    <n v="90"/>
    <n v="360"/>
    <n v="440"/>
    <x v="1"/>
    <x v="3"/>
    <x v="4"/>
    <n v="27.25"/>
    <n v="29.2"/>
    <n v="9.23"/>
    <n v="20.51"/>
    <n v="3.66"/>
    <n v="11.16"/>
    <n v="4.88"/>
    <n v="1"/>
    <n v="333.11"/>
    <x v="0"/>
    <x v="1"/>
  </r>
  <r>
    <n v="911"/>
    <x v="162"/>
    <s v="C1134"/>
    <x v="4"/>
    <x v="0"/>
    <n v="4"/>
    <n v="120"/>
    <n v="480"/>
    <n v="50"/>
    <n v="200"/>
    <n v="280"/>
    <x v="1"/>
    <x v="2"/>
    <x v="4"/>
    <n v="38.24"/>
    <n v="22.91"/>
    <n v="11.84"/>
    <n v="0.8"/>
    <n v="0.13"/>
    <n v="12.58"/>
    <n v="4.43"/>
    <n v="1.85"/>
    <n v="187.22"/>
    <x v="0"/>
    <x v="1"/>
  </r>
  <r>
    <n v="912"/>
    <x v="123"/>
    <s v="C1220"/>
    <x v="5"/>
    <x v="0"/>
    <n v="4"/>
    <n v="250"/>
    <n v="1000"/>
    <n v="110"/>
    <n v="440"/>
    <n v="560"/>
    <x v="2"/>
    <x v="0"/>
    <x v="0"/>
    <n v="27.57"/>
    <n v="38.36"/>
    <n v="7.04"/>
    <n v="16.38"/>
    <n v="1.53"/>
    <n v="14.37"/>
    <n v="6.45"/>
    <n v="2.2999999999999998"/>
    <n v="446"/>
    <x v="2"/>
    <x v="1"/>
  </r>
  <r>
    <n v="913"/>
    <x v="44"/>
    <s v="C1057"/>
    <x v="6"/>
    <x v="0"/>
    <n v="2"/>
    <n v="180"/>
    <n v="360"/>
    <n v="75"/>
    <n v="150"/>
    <n v="210"/>
    <x v="4"/>
    <x v="3"/>
    <x v="0"/>
    <n v="31.96"/>
    <n v="28.67"/>
    <n v="5.35"/>
    <n v="0.68"/>
    <n v="4.0199999999999996"/>
    <n v="5.82"/>
    <n v="4.0999999999999996"/>
    <n v="0.18"/>
    <n v="129.22"/>
    <x v="1"/>
    <x v="0"/>
  </r>
  <r>
    <n v="914"/>
    <x v="93"/>
    <s v="C1255"/>
    <x v="3"/>
    <x v="2"/>
    <n v="3"/>
    <n v="180"/>
    <n v="540"/>
    <n v="90"/>
    <n v="270"/>
    <n v="270"/>
    <x v="1"/>
    <x v="0"/>
    <x v="2"/>
    <n v="29.85"/>
    <n v="33.61"/>
    <n v="11.98"/>
    <n v="12.42"/>
    <n v="4.8499999999999996"/>
    <n v="10.67"/>
    <n v="3.55"/>
    <n v="0.46"/>
    <n v="162.61000000000001"/>
    <x v="0"/>
    <x v="1"/>
  </r>
  <r>
    <n v="915"/>
    <x v="67"/>
    <s v="C1003"/>
    <x v="2"/>
    <x v="1"/>
    <n v="2"/>
    <n v="80"/>
    <n v="160"/>
    <n v="30"/>
    <n v="60"/>
    <n v="100"/>
    <x v="0"/>
    <x v="3"/>
    <x v="1"/>
    <n v="36.49"/>
    <n v="30.07"/>
    <n v="12.43"/>
    <n v="30.45"/>
    <n v="1.41"/>
    <n v="10.53"/>
    <n v="6.97"/>
    <n v="1.94"/>
    <n v="-30.29"/>
    <x v="1"/>
    <x v="1"/>
  </r>
  <r>
    <n v="916"/>
    <x v="135"/>
    <s v="C1289"/>
    <x v="0"/>
    <x v="0"/>
    <n v="3"/>
    <n v="200"/>
    <n v="600"/>
    <n v="90"/>
    <n v="270"/>
    <n v="330"/>
    <x v="4"/>
    <x v="2"/>
    <x v="3"/>
    <n v="32.81"/>
    <n v="37.380000000000003"/>
    <n v="12.67"/>
    <n v="29.49"/>
    <n v="3.45"/>
    <n v="13.81"/>
    <n v="3.25"/>
    <n v="0.89"/>
    <n v="196.25"/>
    <x v="2"/>
    <x v="1"/>
  </r>
  <r>
    <n v="917"/>
    <x v="115"/>
    <s v="C1127"/>
    <x v="0"/>
    <x v="0"/>
    <n v="1"/>
    <n v="200"/>
    <n v="200"/>
    <n v="90"/>
    <n v="90"/>
    <n v="110"/>
    <x v="3"/>
    <x v="1"/>
    <x v="3"/>
    <n v="38.130000000000003"/>
    <n v="19.5"/>
    <n v="11.01"/>
    <n v="16.41"/>
    <n v="1.35"/>
    <n v="13.02"/>
    <n v="1.87"/>
    <n v="2.85"/>
    <n v="5.86"/>
    <x v="0"/>
    <x v="0"/>
  </r>
  <r>
    <n v="918"/>
    <x v="67"/>
    <s v="C1334"/>
    <x v="5"/>
    <x v="0"/>
    <n v="3"/>
    <n v="250"/>
    <n v="750"/>
    <n v="110"/>
    <n v="330"/>
    <n v="420"/>
    <x v="2"/>
    <x v="2"/>
    <x v="0"/>
    <n v="37.76"/>
    <n v="53.62"/>
    <n v="19.75"/>
    <n v="20.190000000000001"/>
    <n v="3.69"/>
    <n v="3.55"/>
    <n v="3.54"/>
    <n v="1.91"/>
    <n v="275.99"/>
    <x v="1"/>
    <x v="0"/>
  </r>
  <r>
    <n v="919"/>
    <x v="45"/>
    <s v="C1319"/>
    <x v="0"/>
    <x v="0"/>
    <n v="1"/>
    <n v="200"/>
    <n v="200"/>
    <n v="90"/>
    <n v="90"/>
    <n v="110"/>
    <x v="2"/>
    <x v="4"/>
    <x v="4"/>
    <n v="14.59"/>
    <n v="18.86"/>
    <n v="13.9"/>
    <n v="25.86"/>
    <n v="4.17"/>
    <n v="8.6300000000000008"/>
    <n v="4.9800000000000004"/>
    <n v="1.19"/>
    <n v="17.82"/>
    <x v="2"/>
    <x v="0"/>
  </r>
  <r>
    <n v="920"/>
    <x v="162"/>
    <s v="C1241"/>
    <x v="1"/>
    <x v="0"/>
    <n v="1"/>
    <n v="220"/>
    <n v="220"/>
    <n v="100"/>
    <n v="100"/>
    <n v="120"/>
    <x v="0"/>
    <x v="2"/>
    <x v="1"/>
    <n v="14.98"/>
    <n v="35.049999999999997"/>
    <n v="12.34"/>
    <n v="5.93"/>
    <n v="1.26"/>
    <n v="8.51"/>
    <n v="5.41"/>
    <n v="0.02"/>
    <n v="36.5"/>
    <x v="0"/>
    <x v="0"/>
  </r>
  <r>
    <n v="921"/>
    <x v="154"/>
    <s v="C1004"/>
    <x v="5"/>
    <x v="0"/>
    <n v="1"/>
    <n v="250"/>
    <n v="250"/>
    <n v="110"/>
    <n v="110"/>
    <n v="140"/>
    <x v="2"/>
    <x v="2"/>
    <x v="0"/>
    <n v="32.44"/>
    <n v="36.53"/>
    <n v="15.39"/>
    <n v="31.83"/>
    <n v="2.67"/>
    <n v="14.72"/>
    <n v="7.63"/>
    <n v="0.81"/>
    <n v="-2.02"/>
    <x v="0"/>
    <x v="1"/>
  </r>
  <r>
    <n v="922"/>
    <x v="45"/>
    <s v="C1239"/>
    <x v="2"/>
    <x v="1"/>
    <n v="4"/>
    <n v="80"/>
    <n v="320"/>
    <n v="30"/>
    <n v="120"/>
    <n v="200"/>
    <x v="0"/>
    <x v="2"/>
    <x v="0"/>
    <n v="19.260000000000002"/>
    <n v="58.25"/>
    <n v="12.67"/>
    <n v="13.36"/>
    <n v="1.67"/>
    <n v="9.52"/>
    <n v="5.9"/>
    <n v="0.67"/>
    <n v="78.7"/>
    <x v="2"/>
    <x v="1"/>
  </r>
  <r>
    <n v="923"/>
    <x v="60"/>
    <s v="C1029"/>
    <x v="1"/>
    <x v="0"/>
    <n v="3"/>
    <n v="220"/>
    <n v="660"/>
    <n v="100"/>
    <n v="300"/>
    <n v="360"/>
    <x v="0"/>
    <x v="2"/>
    <x v="1"/>
    <n v="36.89"/>
    <n v="47.75"/>
    <n v="19.93"/>
    <n v="0.91"/>
    <n v="3.4"/>
    <n v="12.11"/>
    <n v="2.88"/>
    <n v="1.89"/>
    <n v="234.24"/>
    <x v="0"/>
    <x v="1"/>
  </r>
  <r>
    <n v="924"/>
    <x v="160"/>
    <s v="C1041"/>
    <x v="4"/>
    <x v="0"/>
    <n v="3"/>
    <n v="120"/>
    <n v="360"/>
    <n v="50"/>
    <n v="150"/>
    <n v="210"/>
    <x v="2"/>
    <x v="3"/>
    <x v="4"/>
    <n v="23.73"/>
    <n v="26.17"/>
    <n v="13.54"/>
    <n v="27.66"/>
    <n v="4.93"/>
    <n v="5.5"/>
    <n v="7.27"/>
    <n v="0.3"/>
    <n v="100.9"/>
    <x v="1"/>
    <x v="1"/>
  </r>
  <r>
    <n v="925"/>
    <x v="154"/>
    <s v="C1303"/>
    <x v="4"/>
    <x v="0"/>
    <n v="2"/>
    <n v="120"/>
    <n v="240"/>
    <n v="50"/>
    <n v="100"/>
    <n v="140"/>
    <x v="1"/>
    <x v="3"/>
    <x v="2"/>
    <n v="24.6"/>
    <n v="18.66"/>
    <n v="10.47"/>
    <n v="20.58"/>
    <n v="1.63"/>
    <n v="13.78"/>
    <n v="2.7"/>
    <n v="2.27"/>
    <n v="45.31"/>
    <x v="0"/>
    <x v="1"/>
  </r>
  <r>
    <n v="926"/>
    <x v="159"/>
    <s v="C1086"/>
    <x v="0"/>
    <x v="0"/>
    <n v="1"/>
    <n v="200"/>
    <n v="200"/>
    <n v="90"/>
    <n v="90"/>
    <n v="110"/>
    <x v="0"/>
    <x v="0"/>
    <x v="2"/>
    <n v="19.97"/>
    <n v="24.19"/>
    <n v="6.69"/>
    <n v="24.57"/>
    <n v="4.4800000000000004"/>
    <n v="2.29"/>
    <n v="6.64"/>
    <n v="2.74"/>
    <n v="18.43"/>
    <x v="2"/>
    <x v="1"/>
  </r>
  <r>
    <n v="927"/>
    <x v="136"/>
    <s v="C1074"/>
    <x v="7"/>
    <x v="2"/>
    <n v="3"/>
    <n v="150"/>
    <n v="450"/>
    <n v="70"/>
    <n v="210"/>
    <n v="240"/>
    <x v="3"/>
    <x v="0"/>
    <x v="3"/>
    <n v="30.5"/>
    <n v="17.64"/>
    <n v="13.19"/>
    <n v="5.7"/>
    <n v="0.3"/>
    <n v="13.02"/>
    <n v="5.24"/>
    <n v="0.53"/>
    <n v="153.88"/>
    <x v="2"/>
    <x v="0"/>
  </r>
  <r>
    <n v="928"/>
    <x v="71"/>
    <s v="C1311"/>
    <x v="7"/>
    <x v="2"/>
    <n v="1"/>
    <n v="150"/>
    <n v="150"/>
    <n v="70"/>
    <n v="70"/>
    <n v="80"/>
    <x v="3"/>
    <x v="2"/>
    <x v="0"/>
    <n v="26.36"/>
    <n v="52.81"/>
    <n v="8"/>
    <n v="10.94"/>
    <n v="1.51"/>
    <n v="10.130000000000001"/>
    <n v="2.58"/>
    <n v="0.87"/>
    <n v="-33.200000000000003"/>
    <x v="1"/>
    <x v="1"/>
  </r>
  <r>
    <n v="929"/>
    <x v="74"/>
    <s v="C1244"/>
    <x v="5"/>
    <x v="0"/>
    <n v="4"/>
    <n v="250"/>
    <n v="1000"/>
    <n v="110"/>
    <n v="440"/>
    <n v="560"/>
    <x v="3"/>
    <x v="3"/>
    <x v="5"/>
    <n v="35.130000000000003"/>
    <n v="28.88"/>
    <n v="17.8"/>
    <n v="7.17"/>
    <n v="4.37"/>
    <n v="13.06"/>
    <n v="6.94"/>
    <n v="2.5499999999999998"/>
    <n v="444.1"/>
    <x v="1"/>
    <x v="0"/>
  </r>
  <r>
    <n v="930"/>
    <x v="87"/>
    <s v="C1218"/>
    <x v="7"/>
    <x v="2"/>
    <n v="2"/>
    <n v="150"/>
    <n v="300"/>
    <n v="70"/>
    <n v="140"/>
    <n v="160"/>
    <x v="1"/>
    <x v="4"/>
    <x v="3"/>
    <n v="29.33"/>
    <n v="21.71"/>
    <n v="19"/>
    <n v="18.8"/>
    <n v="3.22"/>
    <n v="13.33"/>
    <n v="7.26"/>
    <n v="2.68"/>
    <n v="44.67"/>
    <x v="0"/>
    <x v="1"/>
  </r>
  <r>
    <n v="931"/>
    <x v="80"/>
    <s v="C1049"/>
    <x v="4"/>
    <x v="0"/>
    <n v="2"/>
    <n v="120"/>
    <n v="240"/>
    <n v="50"/>
    <n v="100"/>
    <n v="140"/>
    <x v="1"/>
    <x v="0"/>
    <x v="1"/>
    <n v="12.85"/>
    <n v="21.29"/>
    <n v="16.09"/>
    <n v="11.2"/>
    <n v="3.15"/>
    <n v="7.91"/>
    <n v="6.03"/>
    <n v="2.0099999999999998"/>
    <n v="59.47"/>
    <x v="0"/>
    <x v="0"/>
  </r>
  <r>
    <n v="932"/>
    <x v="122"/>
    <s v="C1222"/>
    <x v="3"/>
    <x v="2"/>
    <n v="2"/>
    <n v="180"/>
    <n v="360"/>
    <n v="90"/>
    <n v="180"/>
    <n v="180"/>
    <x v="1"/>
    <x v="1"/>
    <x v="3"/>
    <n v="39.14"/>
    <n v="45.12"/>
    <n v="12.75"/>
    <n v="27.03"/>
    <n v="3.83"/>
    <n v="14.78"/>
    <n v="7.61"/>
    <n v="0.81"/>
    <n v="28.93"/>
    <x v="0"/>
    <x v="0"/>
  </r>
  <r>
    <n v="933"/>
    <x v="151"/>
    <s v="C1346"/>
    <x v="4"/>
    <x v="0"/>
    <n v="1"/>
    <n v="120"/>
    <n v="120"/>
    <n v="50"/>
    <n v="50"/>
    <n v="70"/>
    <x v="4"/>
    <x v="4"/>
    <x v="2"/>
    <n v="13.09"/>
    <n v="28.91"/>
    <n v="8.24"/>
    <n v="6.63"/>
    <n v="3.83"/>
    <n v="14.89"/>
    <n v="3.93"/>
    <n v="0.44"/>
    <n v="-9.9600000000000009"/>
    <x v="1"/>
    <x v="1"/>
  </r>
  <r>
    <n v="934"/>
    <x v="153"/>
    <s v="C1321"/>
    <x v="6"/>
    <x v="0"/>
    <n v="3"/>
    <n v="180"/>
    <n v="540"/>
    <n v="75"/>
    <n v="225"/>
    <n v="315"/>
    <x v="3"/>
    <x v="2"/>
    <x v="1"/>
    <n v="29.74"/>
    <n v="51.48"/>
    <n v="12.69"/>
    <n v="34.36"/>
    <n v="0.44"/>
    <n v="2.96"/>
    <n v="5.05"/>
    <n v="1.1000000000000001"/>
    <n v="177.18"/>
    <x v="2"/>
    <x v="1"/>
  </r>
  <r>
    <n v="935"/>
    <x v="128"/>
    <s v="C1103"/>
    <x v="1"/>
    <x v="0"/>
    <n v="3"/>
    <n v="220"/>
    <n v="660"/>
    <n v="100"/>
    <n v="300"/>
    <n v="360"/>
    <x v="2"/>
    <x v="4"/>
    <x v="0"/>
    <n v="10.130000000000001"/>
    <n v="55.53"/>
    <n v="5.34"/>
    <n v="24.73"/>
    <n v="2.79"/>
    <n v="3.71"/>
    <n v="2.95"/>
    <n v="0.43"/>
    <n v="254.39"/>
    <x v="0"/>
    <x v="1"/>
  </r>
  <r>
    <n v="936"/>
    <x v="160"/>
    <s v="C1086"/>
    <x v="5"/>
    <x v="0"/>
    <n v="3"/>
    <n v="250"/>
    <n v="750"/>
    <n v="110"/>
    <n v="330"/>
    <n v="420"/>
    <x v="3"/>
    <x v="0"/>
    <x v="3"/>
    <n v="24.35"/>
    <n v="39.96"/>
    <n v="12.64"/>
    <n v="8.58"/>
    <n v="1.52"/>
    <n v="10.02"/>
    <n v="6.31"/>
    <n v="1.69"/>
    <n v="314.93"/>
    <x v="0"/>
    <x v="0"/>
  </r>
  <r>
    <n v="937"/>
    <x v="96"/>
    <s v="C1161"/>
    <x v="2"/>
    <x v="1"/>
    <n v="2"/>
    <n v="80"/>
    <n v="160"/>
    <n v="30"/>
    <n v="60"/>
    <n v="100"/>
    <x v="4"/>
    <x v="4"/>
    <x v="4"/>
    <n v="15.81"/>
    <n v="41.75"/>
    <n v="14.51"/>
    <n v="34.47"/>
    <n v="0.42"/>
    <n v="10.39"/>
    <n v="4.5999999999999996"/>
    <n v="1.7"/>
    <n v="-23.65"/>
    <x v="2"/>
    <x v="1"/>
  </r>
  <r>
    <n v="938"/>
    <x v="64"/>
    <s v="C1059"/>
    <x v="7"/>
    <x v="2"/>
    <n v="4"/>
    <n v="150"/>
    <n v="600"/>
    <n v="70"/>
    <n v="280"/>
    <n v="320"/>
    <x v="4"/>
    <x v="3"/>
    <x v="0"/>
    <n v="33.01"/>
    <n v="31.62"/>
    <n v="11.15"/>
    <n v="15.89"/>
    <n v="3.15"/>
    <n v="6.08"/>
    <n v="1.1599999999999999"/>
    <n v="1.42"/>
    <n v="216.52"/>
    <x v="1"/>
    <x v="0"/>
  </r>
  <r>
    <n v="939"/>
    <x v="152"/>
    <s v="C1290"/>
    <x v="4"/>
    <x v="0"/>
    <n v="2"/>
    <n v="120"/>
    <n v="240"/>
    <n v="50"/>
    <n v="100"/>
    <n v="140"/>
    <x v="4"/>
    <x v="1"/>
    <x v="5"/>
    <n v="24.26"/>
    <n v="18.87"/>
    <n v="12.67"/>
    <n v="14.23"/>
    <n v="1.87"/>
    <n v="14.74"/>
    <n v="1.85"/>
    <n v="1.2"/>
    <n v="50.31"/>
    <x v="2"/>
    <x v="1"/>
  </r>
  <r>
    <n v="940"/>
    <x v="128"/>
    <s v="C1231"/>
    <x v="1"/>
    <x v="0"/>
    <n v="1"/>
    <n v="220"/>
    <n v="220"/>
    <n v="100"/>
    <n v="100"/>
    <n v="120"/>
    <x v="3"/>
    <x v="4"/>
    <x v="5"/>
    <n v="25.18"/>
    <n v="15.47"/>
    <n v="19.149999999999999"/>
    <n v="34.770000000000003"/>
    <n v="3.14"/>
    <n v="9.74"/>
    <n v="7.32"/>
    <n v="1.3"/>
    <n v="3.93"/>
    <x v="0"/>
    <x v="0"/>
  </r>
  <r>
    <n v="941"/>
    <x v="111"/>
    <s v="C1247"/>
    <x v="6"/>
    <x v="0"/>
    <n v="2"/>
    <n v="180"/>
    <n v="360"/>
    <n v="75"/>
    <n v="150"/>
    <n v="210"/>
    <x v="4"/>
    <x v="4"/>
    <x v="4"/>
    <n v="12.04"/>
    <n v="47.69"/>
    <n v="5.88"/>
    <n v="34.82"/>
    <n v="1.45"/>
    <n v="4.82"/>
    <n v="6.5"/>
    <n v="2.97"/>
    <n v="93.83"/>
    <x v="0"/>
    <x v="0"/>
  </r>
  <r>
    <n v="942"/>
    <x v="142"/>
    <s v="C1028"/>
    <x v="3"/>
    <x v="2"/>
    <n v="1"/>
    <n v="180"/>
    <n v="180"/>
    <n v="90"/>
    <n v="90"/>
    <n v="90"/>
    <x v="1"/>
    <x v="2"/>
    <x v="3"/>
    <n v="36.18"/>
    <n v="35.06"/>
    <n v="13.07"/>
    <n v="21.76"/>
    <n v="3.82"/>
    <n v="9.93"/>
    <n v="3.83"/>
    <n v="0.15"/>
    <n v="-33.799999999999997"/>
    <x v="0"/>
    <x v="1"/>
  </r>
  <r>
    <n v="943"/>
    <x v="46"/>
    <s v="C1067"/>
    <x v="1"/>
    <x v="0"/>
    <n v="1"/>
    <n v="220"/>
    <n v="220"/>
    <n v="100"/>
    <n v="100"/>
    <n v="120"/>
    <x v="1"/>
    <x v="2"/>
    <x v="3"/>
    <n v="25.11"/>
    <n v="50.1"/>
    <n v="14.64"/>
    <n v="34.18"/>
    <n v="2.2000000000000002"/>
    <n v="6.03"/>
    <n v="2.91"/>
    <n v="0.02"/>
    <n v="-15.19"/>
    <x v="2"/>
    <x v="1"/>
  </r>
  <r>
    <n v="944"/>
    <x v="33"/>
    <s v="C1107"/>
    <x v="6"/>
    <x v="0"/>
    <n v="3"/>
    <n v="180"/>
    <n v="540"/>
    <n v="75"/>
    <n v="225"/>
    <n v="315"/>
    <x v="0"/>
    <x v="1"/>
    <x v="3"/>
    <n v="38.67"/>
    <n v="41.86"/>
    <n v="9.0299999999999994"/>
    <n v="2.58"/>
    <n v="4.1100000000000003"/>
    <n v="2.48"/>
    <n v="1.35"/>
    <n v="2.1"/>
    <n v="212.82"/>
    <x v="1"/>
    <x v="1"/>
  </r>
  <r>
    <n v="945"/>
    <x v="116"/>
    <s v="C1238"/>
    <x v="7"/>
    <x v="2"/>
    <n v="2"/>
    <n v="150"/>
    <n v="300"/>
    <n v="70"/>
    <n v="140"/>
    <n v="160"/>
    <x v="4"/>
    <x v="2"/>
    <x v="4"/>
    <n v="37.340000000000003"/>
    <n v="41.6"/>
    <n v="16.64"/>
    <n v="33.78"/>
    <n v="0.36"/>
    <n v="5.1100000000000003"/>
    <n v="1.03"/>
    <n v="1.44"/>
    <n v="22.7"/>
    <x v="0"/>
    <x v="1"/>
  </r>
  <r>
    <n v="946"/>
    <x v="176"/>
    <s v="C1273"/>
    <x v="4"/>
    <x v="0"/>
    <n v="1"/>
    <n v="120"/>
    <n v="120"/>
    <n v="50"/>
    <n v="50"/>
    <n v="70"/>
    <x v="4"/>
    <x v="1"/>
    <x v="3"/>
    <n v="29.21"/>
    <n v="48.37"/>
    <n v="7.81"/>
    <n v="30.38"/>
    <n v="2.3199999999999998"/>
    <n v="4.33"/>
    <n v="6.57"/>
    <n v="1.84"/>
    <n v="-60.83"/>
    <x v="1"/>
    <x v="1"/>
  </r>
  <r>
    <n v="947"/>
    <x v="77"/>
    <s v="C1326"/>
    <x v="3"/>
    <x v="2"/>
    <n v="1"/>
    <n v="180"/>
    <n v="180"/>
    <n v="90"/>
    <n v="90"/>
    <n v="90"/>
    <x v="2"/>
    <x v="1"/>
    <x v="1"/>
    <n v="18.86"/>
    <n v="48.31"/>
    <n v="6.82"/>
    <n v="14.42"/>
    <n v="1.96"/>
    <n v="11.06"/>
    <n v="7.99"/>
    <n v="0.02"/>
    <n v="-19.440000000000001"/>
    <x v="0"/>
    <x v="0"/>
  </r>
  <r>
    <n v="948"/>
    <x v="43"/>
    <s v="C1150"/>
    <x v="6"/>
    <x v="0"/>
    <n v="1"/>
    <n v="180"/>
    <n v="180"/>
    <n v="75"/>
    <n v="75"/>
    <n v="105"/>
    <x v="2"/>
    <x v="4"/>
    <x v="4"/>
    <n v="37.25"/>
    <n v="29.67"/>
    <n v="7.43"/>
    <n v="26.53"/>
    <n v="0.93"/>
    <n v="9.0399999999999991"/>
    <n v="4.47"/>
    <n v="1.4"/>
    <n v="-11.72"/>
    <x v="2"/>
    <x v="1"/>
  </r>
  <r>
    <n v="949"/>
    <x v="145"/>
    <s v="C1021"/>
    <x v="5"/>
    <x v="0"/>
    <n v="2"/>
    <n v="250"/>
    <n v="500"/>
    <n v="110"/>
    <n v="220"/>
    <n v="280"/>
    <x v="4"/>
    <x v="2"/>
    <x v="0"/>
    <n v="16.690000000000001"/>
    <n v="52.63"/>
    <n v="14.92"/>
    <n v="9.02"/>
    <n v="1.27"/>
    <n v="14.25"/>
    <n v="2.62"/>
    <n v="2.16"/>
    <n v="166.44"/>
    <x v="0"/>
    <x v="0"/>
  </r>
  <r>
    <n v="950"/>
    <x v="38"/>
    <s v="C1158"/>
    <x v="2"/>
    <x v="1"/>
    <n v="4"/>
    <n v="80"/>
    <n v="320"/>
    <n v="30"/>
    <n v="120"/>
    <n v="200"/>
    <x v="1"/>
    <x v="2"/>
    <x v="2"/>
    <n v="29.54"/>
    <n v="56.84"/>
    <n v="8.7899999999999991"/>
    <n v="26.69"/>
    <n v="1.22"/>
    <n v="3.85"/>
    <n v="2.97"/>
    <n v="2.06"/>
    <n v="68.040000000000006"/>
    <x v="0"/>
    <x v="0"/>
  </r>
  <r>
    <n v="951"/>
    <x v="119"/>
    <s v="C1254"/>
    <x v="2"/>
    <x v="1"/>
    <n v="4"/>
    <n v="80"/>
    <n v="320"/>
    <n v="30"/>
    <n v="120"/>
    <n v="200"/>
    <x v="2"/>
    <x v="4"/>
    <x v="1"/>
    <n v="23.54"/>
    <n v="35.909999999999997"/>
    <n v="11.65"/>
    <n v="6.45"/>
    <n v="0.16"/>
    <n v="9.8699999999999992"/>
    <n v="6.63"/>
    <n v="1.28"/>
    <n v="104.51"/>
    <x v="2"/>
    <x v="1"/>
  </r>
  <r>
    <n v="952"/>
    <x v="37"/>
    <s v="C1322"/>
    <x v="6"/>
    <x v="0"/>
    <n v="4"/>
    <n v="180"/>
    <n v="720"/>
    <n v="75"/>
    <n v="300"/>
    <n v="420"/>
    <x v="4"/>
    <x v="1"/>
    <x v="0"/>
    <n v="21.8"/>
    <n v="28.79"/>
    <n v="16.95"/>
    <n v="8.59"/>
    <n v="1.41"/>
    <n v="9.91"/>
    <n v="4.87"/>
    <n v="1.61"/>
    <n v="326.07"/>
    <x v="1"/>
    <x v="1"/>
  </r>
  <r>
    <n v="953"/>
    <x v="132"/>
    <s v="C1289"/>
    <x v="1"/>
    <x v="0"/>
    <n v="2"/>
    <n v="220"/>
    <n v="440"/>
    <n v="100"/>
    <n v="200"/>
    <n v="240"/>
    <x v="0"/>
    <x v="0"/>
    <x v="5"/>
    <n v="15.7"/>
    <n v="22.27"/>
    <n v="17.440000000000001"/>
    <n v="8.18"/>
    <n v="0.98"/>
    <n v="14.88"/>
    <n v="5.09"/>
    <n v="2.21"/>
    <n v="153.25"/>
    <x v="2"/>
    <x v="0"/>
  </r>
  <r>
    <n v="954"/>
    <x v="85"/>
    <s v="C1312"/>
    <x v="1"/>
    <x v="0"/>
    <n v="1"/>
    <n v="220"/>
    <n v="220"/>
    <n v="100"/>
    <n v="100"/>
    <n v="120"/>
    <x v="1"/>
    <x v="3"/>
    <x v="1"/>
    <n v="18.940000000000001"/>
    <n v="25.73"/>
    <n v="10.5"/>
    <n v="22.58"/>
    <n v="0.48"/>
    <n v="14.91"/>
    <n v="3.97"/>
    <n v="2.7"/>
    <n v="20.190000000000001"/>
    <x v="1"/>
    <x v="1"/>
  </r>
  <r>
    <n v="955"/>
    <x v="1"/>
    <s v="C1188"/>
    <x v="6"/>
    <x v="0"/>
    <n v="3"/>
    <n v="180"/>
    <n v="540"/>
    <n v="75"/>
    <n v="225"/>
    <n v="315"/>
    <x v="0"/>
    <x v="0"/>
    <x v="3"/>
    <n v="26.33"/>
    <n v="55.71"/>
    <n v="6.42"/>
    <n v="23.83"/>
    <n v="3.71"/>
    <n v="2.46"/>
    <n v="6.89"/>
    <n v="0.75"/>
    <n v="188.9"/>
    <x v="2"/>
    <x v="0"/>
  </r>
  <r>
    <n v="956"/>
    <x v="9"/>
    <s v="C1051"/>
    <x v="4"/>
    <x v="0"/>
    <n v="2"/>
    <n v="120"/>
    <n v="240"/>
    <n v="50"/>
    <n v="100"/>
    <n v="140"/>
    <x v="0"/>
    <x v="4"/>
    <x v="1"/>
    <n v="21.6"/>
    <n v="52.14"/>
    <n v="15.19"/>
    <n v="30.4"/>
    <n v="0.05"/>
    <n v="4.25"/>
    <n v="4.29"/>
    <n v="2.83"/>
    <n v="9.25"/>
    <x v="2"/>
    <x v="0"/>
  </r>
  <r>
    <n v="957"/>
    <x v="66"/>
    <s v="C1003"/>
    <x v="4"/>
    <x v="0"/>
    <n v="1"/>
    <n v="120"/>
    <n v="120"/>
    <n v="50"/>
    <n v="50"/>
    <n v="70"/>
    <x v="3"/>
    <x v="1"/>
    <x v="3"/>
    <n v="11.31"/>
    <n v="46.85"/>
    <n v="16.34"/>
    <n v="23.7"/>
    <n v="4.28"/>
    <n v="12.55"/>
    <n v="5.64"/>
    <n v="2.97"/>
    <n v="-53.64"/>
    <x v="1"/>
    <x v="1"/>
  </r>
  <r>
    <n v="958"/>
    <x v="112"/>
    <s v="C1312"/>
    <x v="2"/>
    <x v="1"/>
    <n v="3"/>
    <n v="80"/>
    <n v="240"/>
    <n v="30"/>
    <n v="90"/>
    <n v="150"/>
    <x v="2"/>
    <x v="2"/>
    <x v="3"/>
    <n v="38.380000000000003"/>
    <n v="30.66"/>
    <n v="13.4"/>
    <n v="10.27"/>
    <n v="4.75"/>
    <n v="10.06"/>
    <n v="6.53"/>
    <n v="1.78"/>
    <n v="34.17"/>
    <x v="0"/>
    <x v="0"/>
  </r>
  <r>
    <n v="959"/>
    <x v="114"/>
    <s v="C1146"/>
    <x v="1"/>
    <x v="0"/>
    <n v="4"/>
    <n v="220"/>
    <n v="880"/>
    <n v="100"/>
    <n v="400"/>
    <n v="480"/>
    <x v="3"/>
    <x v="3"/>
    <x v="0"/>
    <n v="21.37"/>
    <n v="31.01"/>
    <n v="6.59"/>
    <n v="10.32"/>
    <n v="4.55"/>
    <n v="7.23"/>
    <n v="5.83"/>
    <n v="1.18"/>
    <n v="391.92"/>
    <x v="2"/>
    <x v="0"/>
  </r>
  <r>
    <n v="960"/>
    <x v="46"/>
    <s v="C1050"/>
    <x v="0"/>
    <x v="0"/>
    <n v="3"/>
    <n v="200"/>
    <n v="600"/>
    <n v="90"/>
    <n v="270"/>
    <n v="330"/>
    <x v="2"/>
    <x v="1"/>
    <x v="1"/>
    <n v="28.57"/>
    <n v="45.51"/>
    <n v="18.260000000000002"/>
    <n v="22.59"/>
    <n v="2.63"/>
    <n v="12.91"/>
    <n v="1.95"/>
    <n v="0.12"/>
    <n v="197.46"/>
    <x v="1"/>
    <x v="0"/>
  </r>
  <r>
    <n v="961"/>
    <x v="137"/>
    <s v="C1243"/>
    <x v="3"/>
    <x v="2"/>
    <n v="1"/>
    <n v="180"/>
    <n v="180"/>
    <n v="90"/>
    <n v="90"/>
    <n v="90"/>
    <x v="3"/>
    <x v="1"/>
    <x v="2"/>
    <n v="33.380000000000003"/>
    <n v="23.96"/>
    <n v="14.73"/>
    <n v="6.54"/>
    <n v="2.06"/>
    <n v="12.89"/>
    <n v="1.2"/>
    <n v="1.66"/>
    <n v="-6.42"/>
    <x v="1"/>
    <x v="0"/>
  </r>
  <r>
    <n v="962"/>
    <x v="159"/>
    <s v="C1161"/>
    <x v="0"/>
    <x v="0"/>
    <n v="1"/>
    <n v="200"/>
    <n v="200"/>
    <n v="90"/>
    <n v="90"/>
    <n v="110"/>
    <x v="2"/>
    <x v="1"/>
    <x v="2"/>
    <n v="37.75"/>
    <n v="21.09"/>
    <n v="15.03"/>
    <n v="8.6300000000000008"/>
    <n v="0.17"/>
    <n v="13.28"/>
    <n v="7.48"/>
    <n v="2.71"/>
    <n v="3.86"/>
    <x v="1"/>
    <x v="0"/>
  </r>
  <r>
    <n v="963"/>
    <x v="177"/>
    <s v="C1003"/>
    <x v="2"/>
    <x v="1"/>
    <n v="4"/>
    <n v="80"/>
    <n v="320"/>
    <n v="30"/>
    <n v="120"/>
    <n v="200"/>
    <x v="2"/>
    <x v="3"/>
    <x v="5"/>
    <n v="23.74"/>
    <n v="56.1"/>
    <n v="7.7"/>
    <n v="26.61"/>
    <n v="1.88"/>
    <n v="5.8"/>
    <n v="5.62"/>
    <n v="2.77"/>
    <n v="69.78"/>
    <x v="1"/>
    <x v="0"/>
  </r>
  <r>
    <n v="964"/>
    <x v="16"/>
    <s v="C1283"/>
    <x v="0"/>
    <x v="0"/>
    <n v="4"/>
    <n v="200"/>
    <n v="800"/>
    <n v="90"/>
    <n v="360"/>
    <n v="440"/>
    <x v="0"/>
    <x v="4"/>
    <x v="1"/>
    <n v="28.24"/>
    <n v="59.67"/>
    <n v="12.62"/>
    <n v="30.21"/>
    <n v="0.44"/>
    <n v="4.4000000000000004"/>
    <n v="4.51"/>
    <n v="0.66"/>
    <n v="299.25"/>
    <x v="0"/>
    <x v="0"/>
  </r>
  <r>
    <n v="965"/>
    <x v="178"/>
    <s v="C1280"/>
    <x v="1"/>
    <x v="0"/>
    <n v="4"/>
    <n v="220"/>
    <n v="880"/>
    <n v="100"/>
    <n v="400"/>
    <n v="480"/>
    <x v="2"/>
    <x v="4"/>
    <x v="1"/>
    <n v="39.93"/>
    <n v="28.76"/>
    <n v="8.1999999999999993"/>
    <n v="19.43"/>
    <n v="1.1200000000000001"/>
    <n v="13.82"/>
    <n v="7.91"/>
    <n v="0.53"/>
    <n v="360.3"/>
    <x v="2"/>
    <x v="0"/>
  </r>
  <r>
    <n v="966"/>
    <x v="173"/>
    <s v="C1164"/>
    <x v="5"/>
    <x v="0"/>
    <n v="4"/>
    <n v="250"/>
    <n v="1000"/>
    <n v="110"/>
    <n v="440"/>
    <n v="560"/>
    <x v="0"/>
    <x v="1"/>
    <x v="2"/>
    <n v="36.93"/>
    <n v="21.81"/>
    <n v="12.68"/>
    <n v="31.13"/>
    <n v="1.18"/>
    <n v="9.3699999999999992"/>
    <n v="4.41"/>
    <n v="0.53"/>
    <n v="441.96"/>
    <x v="2"/>
    <x v="1"/>
  </r>
  <r>
    <n v="967"/>
    <x v="87"/>
    <s v="C1116"/>
    <x v="7"/>
    <x v="2"/>
    <n v="3"/>
    <n v="150"/>
    <n v="450"/>
    <n v="70"/>
    <n v="210"/>
    <n v="240"/>
    <x v="2"/>
    <x v="4"/>
    <x v="5"/>
    <n v="11.42"/>
    <n v="51.86"/>
    <n v="17.010000000000002"/>
    <n v="8.23"/>
    <n v="1.64"/>
    <n v="4.84"/>
    <n v="6.11"/>
    <n v="1.74"/>
    <n v="137.15"/>
    <x v="2"/>
    <x v="1"/>
  </r>
  <r>
    <n v="968"/>
    <x v="154"/>
    <s v="C1123"/>
    <x v="3"/>
    <x v="2"/>
    <n v="1"/>
    <n v="180"/>
    <n v="180"/>
    <n v="90"/>
    <n v="90"/>
    <n v="90"/>
    <x v="2"/>
    <x v="0"/>
    <x v="2"/>
    <n v="35.229999999999997"/>
    <n v="18.920000000000002"/>
    <n v="5.21"/>
    <n v="6.52"/>
    <n v="4.1900000000000004"/>
    <n v="13.95"/>
    <n v="6.02"/>
    <n v="2.5299999999999998"/>
    <n v="-2.57"/>
    <x v="2"/>
    <x v="0"/>
  </r>
  <r>
    <n v="969"/>
    <x v="104"/>
    <s v="C1177"/>
    <x v="7"/>
    <x v="2"/>
    <n v="2"/>
    <n v="150"/>
    <n v="300"/>
    <n v="70"/>
    <n v="140"/>
    <n v="160"/>
    <x v="2"/>
    <x v="1"/>
    <x v="2"/>
    <n v="24.15"/>
    <n v="54.78"/>
    <n v="6.66"/>
    <n v="26.38"/>
    <n v="0.84"/>
    <n v="4.04"/>
    <n v="7.86"/>
    <n v="0.73"/>
    <n v="34.56"/>
    <x v="1"/>
    <x v="1"/>
  </r>
  <r>
    <n v="970"/>
    <x v="116"/>
    <s v="C1229"/>
    <x v="2"/>
    <x v="1"/>
    <n v="2"/>
    <n v="80"/>
    <n v="160"/>
    <n v="30"/>
    <n v="60"/>
    <n v="100"/>
    <x v="4"/>
    <x v="4"/>
    <x v="2"/>
    <n v="36.409999999999997"/>
    <n v="16.73"/>
    <n v="19.87"/>
    <n v="15.68"/>
    <n v="2.16"/>
    <n v="6.24"/>
    <n v="5.54"/>
    <n v="2.82"/>
    <n v="-5.45"/>
    <x v="1"/>
    <x v="0"/>
  </r>
  <r>
    <n v="971"/>
    <x v="17"/>
    <s v="C1140"/>
    <x v="4"/>
    <x v="0"/>
    <n v="1"/>
    <n v="120"/>
    <n v="120"/>
    <n v="50"/>
    <n v="50"/>
    <n v="70"/>
    <x v="3"/>
    <x v="3"/>
    <x v="4"/>
    <n v="11.56"/>
    <n v="18.12"/>
    <n v="15.59"/>
    <n v="11.48"/>
    <n v="3.01"/>
    <n v="3.03"/>
    <n v="6.43"/>
    <n v="2.2200000000000002"/>
    <n v="-1.44"/>
    <x v="0"/>
    <x v="0"/>
  </r>
  <r>
    <n v="972"/>
    <x v="147"/>
    <s v="C1008"/>
    <x v="1"/>
    <x v="0"/>
    <n v="2"/>
    <n v="220"/>
    <n v="440"/>
    <n v="100"/>
    <n v="200"/>
    <n v="240"/>
    <x v="1"/>
    <x v="2"/>
    <x v="1"/>
    <n v="27.25"/>
    <n v="39.6"/>
    <n v="14.97"/>
    <n v="8.25"/>
    <n v="2.76"/>
    <n v="3.09"/>
    <n v="1.71"/>
    <n v="2.91"/>
    <n v="139.46"/>
    <x v="1"/>
    <x v="0"/>
  </r>
  <r>
    <n v="973"/>
    <x v="79"/>
    <s v="C1105"/>
    <x v="0"/>
    <x v="0"/>
    <n v="2"/>
    <n v="200"/>
    <n v="400"/>
    <n v="90"/>
    <n v="180"/>
    <n v="220"/>
    <x v="4"/>
    <x v="0"/>
    <x v="4"/>
    <n v="20.21"/>
    <n v="25.24"/>
    <n v="14.92"/>
    <n v="23.01"/>
    <n v="4.6500000000000004"/>
    <n v="8"/>
    <n v="4.2"/>
    <n v="1.25"/>
    <n v="118.52"/>
    <x v="2"/>
    <x v="1"/>
  </r>
  <r>
    <n v="974"/>
    <x v="19"/>
    <s v="C1321"/>
    <x v="1"/>
    <x v="0"/>
    <n v="1"/>
    <n v="220"/>
    <n v="220"/>
    <n v="100"/>
    <n v="100"/>
    <n v="120"/>
    <x v="3"/>
    <x v="0"/>
    <x v="2"/>
    <n v="35.08"/>
    <n v="27.52"/>
    <n v="17.53"/>
    <n v="19.05"/>
    <n v="3.97"/>
    <n v="7.04"/>
    <n v="1.23"/>
    <n v="1.1399999999999999"/>
    <n v="7.44"/>
    <x v="1"/>
    <x v="1"/>
  </r>
  <r>
    <n v="975"/>
    <x v="178"/>
    <s v="C1181"/>
    <x v="5"/>
    <x v="0"/>
    <n v="3"/>
    <n v="250"/>
    <n v="750"/>
    <n v="110"/>
    <n v="330"/>
    <n v="420"/>
    <x v="2"/>
    <x v="3"/>
    <x v="0"/>
    <n v="38.47"/>
    <n v="33.85"/>
    <n v="16.170000000000002"/>
    <n v="10.34"/>
    <n v="2.71"/>
    <n v="14.79"/>
    <n v="7.85"/>
    <n v="0.5"/>
    <n v="295.32"/>
    <x v="0"/>
    <x v="1"/>
  </r>
  <r>
    <n v="976"/>
    <x v="147"/>
    <s v="C1207"/>
    <x v="0"/>
    <x v="0"/>
    <n v="3"/>
    <n v="200"/>
    <n v="600"/>
    <n v="90"/>
    <n v="270"/>
    <n v="330"/>
    <x v="0"/>
    <x v="1"/>
    <x v="2"/>
    <n v="21.82"/>
    <n v="45.85"/>
    <n v="7.27"/>
    <n v="16.309999999999999"/>
    <n v="3.2"/>
    <n v="14.85"/>
    <n v="2.65"/>
    <n v="0.5"/>
    <n v="217.55"/>
    <x v="2"/>
    <x v="0"/>
  </r>
  <r>
    <n v="977"/>
    <x v="0"/>
    <s v="C1104"/>
    <x v="6"/>
    <x v="0"/>
    <n v="2"/>
    <n v="180"/>
    <n v="360"/>
    <n v="75"/>
    <n v="150"/>
    <n v="210"/>
    <x v="0"/>
    <x v="2"/>
    <x v="1"/>
    <n v="38.39"/>
    <n v="57.2"/>
    <n v="11.54"/>
    <n v="18.010000000000002"/>
    <n v="3.37"/>
    <n v="14.78"/>
    <n v="7.26"/>
    <n v="2.23"/>
    <n v="57.22"/>
    <x v="0"/>
    <x v="1"/>
  </r>
  <r>
    <n v="978"/>
    <x v="94"/>
    <s v="C1243"/>
    <x v="0"/>
    <x v="0"/>
    <n v="1"/>
    <n v="200"/>
    <n v="200"/>
    <n v="90"/>
    <n v="90"/>
    <n v="110"/>
    <x v="3"/>
    <x v="2"/>
    <x v="2"/>
    <n v="25.32"/>
    <n v="15.41"/>
    <n v="6.88"/>
    <n v="26.79"/>
    <n v="3.55"/>
    <n v="7.62"/>
    <n v="4.3"/>
    <n v="0.54"/>
    <n v="19.59"/>
    <x v="1"/>
    <x v="0"/>
  </r>
  <r>
    <n v="979"/>
    <x v="52"/>
    <s v="C1136"/>
    <x v="0"/>
    <x v="0"/>
    <n v="3"/>
    <n v="200"/>
    <n v="600"/>
    <n v="90"/>
    <n v="270"/>
    <n v="330"/>
    <x v="2"/>
    <x v="0"/>
    <x v="4"/>
    <n v="38.299999999999997"/>
    <n v="46.19"/>
    <n v="11.26"/>
    <n v="9.2899999999999991"/>
    <n v="3.69"/>
    <n v="9.1300000000000008"/>
    <n v="6.31"/>
    <n v="2.33"/>
    <n v="203.5"/>
    <x v="0"/>
    <x v="1"/>
  </r>
  <r>
    <n v="980"/>
    <x v="159"/>
    <s v="C1141"/>
    <x v="1"/>
    <x v="0"/>
    <n v="4"/>
    <n v="220"/>
    <n v="880"/>
    <n v="100"/>
    <n v="400"/>
    <n v="480"/>
    <x v="3"/>
    <x v="4"/>
    <x v="3"/>
    <n v="27.73"/>
    <n v="26.13"/>
    <n v="9.6"/>
    <n v="11.55"/>
    <n v="1.51"/>
    <n v="7.88"/>
    <n v="3.73"/>
    <n v="0.53"/>
    <n v="391.34"/>
    <x v="0"/>
    <x v="0"/>
  </r>
  <r>
    <n v="981"/>
    <x v="72"/>
    <s v="C1217"/>
    <x v="6"/>
    <x v="0"/>
    <n v="3"/>
    <n v="180"/>
    <n v="540"/>
    <n v="75"/>
    <n v="225"/>
    <n v="315"/>
    <x v="3"/>
    <x v="3"/>
    <x v="2"/>
    <n v="36.200000000000003"/>
    <n v="57.32"/>
    <n v="19.18"/>
    <n v="5.26"/>
    <n v="0.24"/>
    <n v="13.14"/>
    <n v="4.71"/>
    <n v="0.5"/>
    <n v="178.45"/>
    <x v="0"/>
    <x v="0"/>
  </r>
  <r>
    <n v="982"/>
    <x v="149"/>
    <s v="C1308"/>
    <x v="5"/>
    <x v="0"/>
    <n v="2"/>
    <n v="250"/>
    <n v="500"/>
    <n v="110"/>
    <n v="220"/>
    <n v="280"/>
    <x v="4"/>
    <x v="1"/>
    <x v="3"/>
    <n v="27.32"/>
    <n v="22.14"/>
    <n v="14.97"/>
    <n v="2.2000000000000002"/>
    <n v="3.72"/>
    <n v="12.87"/>
    <n v="3.63"/>
    <n v="0.18"/>
    <n v="192.97"/>
    <x v="1"/>
    <x v="0"/>
  </r>
  <r>
    <n v="983"/>
    <x v="125"/>
    <s v="C1148"/>
    <x v="4"/>
    <x v="0"/>
    <n v="3"/>
    <n v="120"/>
    <n v="360"/>
    <n v="50"/>
    <n v="150"/>
    <n v="210"/>
    <x v="1"/>
    <x v="2"/>
    <x v="5"/>
    <n v="17.34"/>
    <n v="42.47"/>
    <n v="14.85"/>
    <n v="0.99"/>
    <n v="4.17"/>
    <n v="5.65"/>
    <n v="7.39"/>
    <n v="2.48"/>
    <n v="114.66"/>
    <x v="2"/>
    <x v="1"/>
  </r>
  <r>
    <n v="984"/>
    <x v="49"/>
    <s v="C1095"/>
    <x v="0"/>
    <x v="0"/>
    <n v="3"/>
    <n v="200"/>
    <n v="600"/>
    <n v="90"/>
    <n v="270"/>
    <n v="330"/>
    <x v="1"/>
    <x v="4"/>
    <x v="0"/>
    <n v="39.799999999999997"/>
    <n v="33.03"/>
    <n v="10.67"/>
    <n v="9.6"/>
    <n v="4.07"/>
    <n v="6.17"/>
    <n v="1.5"/>
    <n v="1.45"/>
    <n v="223.71"/>
    <x v="2"/>
    <x v="0"/>
  </r>
  <r>
    <n v="985"/>
    <x v="40"/>
    <s v="C1292"/>
    <x v="4"/>
    <x v="0"/>
    <n v="3"/>
    <n v="120"/>
    <n v="360"/>
    <n v="50"/>
    <n v="150"/>
    <n v="210"/>
    <x v="0"/>
    <x v="1"/>
    <x v="5"/>
    <n v="13.14"/>
    <n v="36"/>
    <n v="12.04"/>
    <n v="30.71"/>
    <n v="0.81"/>
    <n v="4.9800000000000004"/>
    <n v="3.66"/>
    <n v="0.42"/>
    <n v="108.24"/>
    <x v="2"/>
    <x v="0"/>
  </r>
  <r>
    <n v="986"/>
    <x v="116"/>
    <s v="C1261"/>
    <x v="1"/>
    <x v="0"/>
    <n v="1"/>
    <n v="220"/>
    <n v="220"/>
    <n v="100"/>
    <n v="100"/>
    <n v="120"/>
    <x v="4"/>
    <x v="2"/>
    <x v="4"/>
    <n v="17.54"/>
    <n v="15.93"/>
    <n v="13.34"/>
    <n v="2.99"/>
    <n v="2.98"/>
    <n v="14.76"/>
    <n v="4.9000000000000004"/>
    <n v="1.57"/>
    <n v="45.99"/>
    <x v="0"/>
    <x v="1"/>
  </r>
  <r>
    <n v="987"/>
    <x v="0"/>
    <s v="C1281"/>
    <x v="5"/>
    <x v="0"/>
    <n v="1"/>
    <n v="250"/>
    <n v="250"/>
    <n v="110"/>
    <n v="110"/>
    <n v="140"/>
    <x v="1"/>
    <x v="1"/>
    <x v="5"/>
    <n v="17.440000000000001"/>
    <n v="26.25"/>
    <n v="18.96"/>
    <n v="20.170000000000002"/>
    <n v="3.1"/>
    <n v="5.76"/>
    <n v="6.5"/>
    <n v="2.72"/>
    <n v="39.1"/>
    <x v="2"/>
    <x v="0"/>
  </r>
  <r>
    <n v="988"/>
    <x v="118"/>
    <s v="C1235"/>
    <x v="2"/>
    <x v="1"/>
    <n v="2"/>
    <n v="80"/>
    <n v="160"/>
    <n v="30"/>
    <n v="60"/>
    <n v="100"/>
    <x v="0"/>
    <x v="2"/>
    <x v="3"/>
    <n v="25.82"/>
    <n v="48.13"/>
    <n v="16.52"/>
    <n v="15.44"/>
    <n v="0"/>
    <n v="6.85"/>
    <n v="7.84"/>
    <n v="0.88"/>
    <n v="-21.48"/>
    <x v="1"/>
    <x v="1"/>
  </r>
  <r>
    <n v="989"/>
    <x v="31"/>
    <s v="C1345"/>
    <x v="4"/>
    <x v="0"/>
    <n v="3"/>
    <n v="120"/>
    <n v="360"/>
    <n v="50"/>
    <n v="150"/>
    <n v="210"/>
    <x v="1"/>
    <x v="3"/>
    <x v="3"/>
    <n v="22.92"/>
    <n v="51.3"/>
    <n v="13.26"/>
    <n v="23.11"/>
    <n v="2.76"/>
    <n v="9.42"/>
    <n v="6.44"/>
    <n v="2.12"/>
    <n v="78.67"/>
    <x v="2"/>
    <x v="1"/>
  </r>
  <r>
    <n v="990"/>
    <x v="140"/>
    <s v="C1331"/>
    <x v="1"/>
    <x v="0"/>
    <n v="3"/>
    <n v="220"/>
    <n v="660"/>
    <n v="100"/>
    <n v="300"/>
    <n v="360"/>
    <x v="4"/>
    <x v="0"/>
    <x v="2"/>
    <n v="28.7"/>
    <n v="26.58"/>
    <n v="19.66"/>
    <n v="19.59"/>
    <n v="4.13"/>
    <n v="3.62"/>
    <n v="3.87"/>
    <n v="1.48"/>
    <n v="252.37"/>
    <x v="1"/>
    <x v="1"/>
  </r>
  <r>
    <n v="991"/>
    <x v="80"/>
    <s v="C1205"/>
    <x v="2"/>
    <x v="1"/>
    <n v="1"/>
    <n v="80"/>
    <n v="80"/>
    <n v="30"/>
    <n v="30"/>
    <n v="50"/>
    <x v="0"/>
    <x v="0"/>
    <x v="2"/>
    <n v="16.13"/>
    <n v="25.22"/>
    <n v="8.92"/>
    <n v="0.71"/>
    <n v="1.46"/>
    <n v="12.86"/>
    <n v="3.77"/>
    <n v="2.79"/>
    <n v="-21.86"/>
    <x v="1"/>
    <x v="0"/>
  </r>
  <r>
    <n v="992"/>
    <x v="75"/>
    <s v="C1279"/>
    <x v="7"/>
    <x v="2"/>
    <n v="1"/>
    <n v="150"/>
    <n v="150"/>
    <n v="70"/>
    <n v="70"/>
    <n v="80"/>
    <x v="4"/>
    <x v="0"/>
    <x v="5"/>
    <n v="39.590000000000003"/>
    <n v="47.24"/>
    <n v="9.69"/>
    <n v="6.58"/>
    <n v="3.71"/>
    <n v="13.18"/>
    <n v="6.11"/>
    <n v="2"/>
    <n v="-48.1"/>
    <x v="2"/>
    <x v="0"/>
  </r>
  <r>
    <n v="993"/>
    <x v="36"/>
    <s v="C1259"/>
    <x v="1"/>
    <x v="0"/>
    <n v="2"/>
    <n v="220"/>
    <n v="440"/>
    <n v="100"/>
    <n v="200"/>
    <n v="240"/>
    <x v="3"/>
    <x v="1"/>
    <x v="0"/>
    <n v="29.33"/>
    <n v="22.11"/>
    <n v="5.53"/>
    <n v="21.31"/>
    <n v="1.75"/>
    <n v="10.210000000000001"/>
    <n v="2.44"/>
    <n v="2.88"/>
    <n v="144.44"/>
    <x v="1"/>
    <x v="0"/>
  </r>
  <r>
    <n v="994"/>
    <x v="110"/>
    <s v="C1261"/>
    <x v="2"/>
    <x v="1"/>
    <n v="3"/>
    <n v="80"/>
    <n v="240"/>
    <n v="30"/>
    <n v="90"/>
    <n v="150"/>
    <x v="0"/>
    <x v="4"/>
    <x v="3"/>
    <n v="25.19"/>
    <n v="20.09"/>
    <n v="11.62"/>
    <n v="1.53"/>
    <n v="0.02"/>
    <n v="3.83"/>
    <n v="3.48"/>
    <n v="2.46"/>
    <n v="81.78"/>
    <x v="2"/>
    <x v="1"/>
  </r>
  <r>
    <n v="995"/>
    <x v="101"/>
    <s v="C1118"/>
    <x v="5"/>
    <x v="0"/>
    <n v="1"/>
    <n v="250"/>
    <n v="250"/>
    <n v="110"/>
    <n v="110"/>
    <n v="140"/>
    <x v="3"/>
    <x v="0"/>
    <x v="3"/>
    <n v="22.62"/>
    <n v="26.93"/>
    <n v="14.63"/>
    <n v="8.51"/>
    <n v="4.4800000000000004"/>
    <n v="9.75"/>
    <n v="5.85"/>
    <n v="1.1599999999999999"/>
    <n v="46.07"/>
    <x v="2"/>
    <x v="1"/>
  </r>
  <r>
    <n v="996"/>
    <x v="114"/>
    <s v="C1262"/>
    <x v="0"/>
    <x v="0"/>
    <n v="4"/>
    <n v="200"/>
    <n v="800"/>
    <n v="90"/>
    <n v="360"/>
    <n v="440"/>
    <x v="0"/>
    <x v="4"/>
    <x v="4"/>
    <n v="37.28"/>
    <n v="30.27"/>
    <n v="6.88"/>
    <n v="4.37"/>
    <n v="1.02"/>
    <n v="8.93"/>
    <n v="1.39"/>
    <n v="2.91"/>
    <n v="346.95"/>
    <x v="0"/>
    <x v="0"/>
  </r>
  <r>
    <n v="997"/>
    <x v="120"/>
    <s v="C1301"/>
    <x v="1"/>
    <x v="0"/>
    <n v="4"/>
    <n v="220"/>
    <n v="880"/>
    <n v="100"/>
    <n v="400"/>
    <n v="480"/>
    <x v="3"/>
    <x v="2"/>
    <x v="5"/>
    <n v="15.58"/>
    <n v="43.28"/>
    <n v="5.47"/>
    <n v="23.98"/>
    <n v="0.92"/>
    <n v="14.96"/>
    <n v="3.62"/>
    <n v="1.78"/>
    <n v="370.41"/>
    <x v="1"/>
    <x v="1"/>
  </r>
  <r>
    <n v="998"/>
    <x v="177"/>
    <s v="C1032"/>
    <x v="7"/>
    <x v="2"/>
    <n v="2"/>
    <n v="150"/>
    <n v="300"/>
    <n v="70"/>
    <n v="140"/>
    <n v="160"/>
    <x v="3"/>
    <x v="3"/>
    <x v="3"/>
    <n v="33.299999999999997"/>
    <n v="55.07"/>
    <n v="16.78"/>
    <n v="26.44"/>
    <n v="3.47"/>
    <n v="8.19"/>
    <n v="1.49"/>
    <n v="1.3"/>
    <n v="13.96"/>
    <x v="1"/>
    <x v="1"/>
  </r>
  <r>
    <n v="999"/>
    <x v="171"/>
    <s v="C1329"/>
    <x v="2"/>
    <x v="1"/>
    <n v="3"/>
    <n v="80"/>
    <n v="240"/>
    <n v="30"/>
    <n v="90"/>
    <n v="150"/>
    <x v="1"/>
    <x v="4"/>
    <x v="1"/>
    <n v="32.659999999999997"/>
    <n v="32.619999999999997"/>
    <n v="19.07"/>
    <n v="33.36"/>
    <n v="1.88"/>
    <n v="12.96"/>
    <n v="1.88"/>
    <n v="1.74"/>
    <n v="13.83"/>
    <x v="0"/>
    <x v="1"/>
  </r>
  <r>
    <n v="1000"/>
    <x v="18"/>
    <s v="C1092"/>
    <x v="0"/>
    <x v="0"/>
    <n v="3"/>
    <n v="200"/>
    <n v="600"/>
    <n v="90"/>
    <n v="270"/>
    <n v="330"/>
    <x v="4"/>
    <x v="0"/>
    <x v="4"/>
    <n v="29.33"/>
    <n v="59.22"/>
    <n v="19.77"/>
    <n v="12.33"/>
    <n v="3.54"/>
    <n v="12.8"/>
    <n v="6.81"/>
    <n v="0.28999999999999998"/>
    <n v="185.91"/>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B988E7-5165-4438-B305-388D719C1D5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5">
    <pivotField showAll="0"/>
    <pivotField showAll="0"/>
    <pivotField showAll="0"/>
    <pivotField showAll="0"/>
    <pivotField showAll="0"/>
    <pivotField showAll="0"/>
    <pivotField showAll="0"/>
    <pivotField showAll="0"/>
    <pivotField showAll="0"/>
    <pivotField dataField="1" showAll="0"/>
    <pivotField showAll="0"/>
    <pivotField showAll="0">
      <items count="6">
        <item x="0"/>
        <item x="3"/>
        <item x="1"/>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s>
  <rowItems count="1">
    <i/>
  </rowItems>
  <colItems count="1">
    <i/>
  </colItems>
  <dataFields count="1">
    <dataField name="Sum of COGS" fld="9" baseField="0" baseItem="0"/>
  </dataFields>
  <formats count="1">
    <format dxfId="27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D243A4-62C4-45F3-BC56-BB7085E8DD0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P3:Q9" firstHeaderRow="1" firstDataRow="1" firstDataCol="1"/>
  <pivotFields count="25">
    <pivotField showAll="0"/>
    <pivotField showAll="0"/>
    <pivotField showAll="0"/>
    <pivotField showAll="0">
      <items count="9">
        <item x="7"/>
        <item x="0"/>
        <item x="5"/>
        <item x="4"/>
        <item x="6"/>
        <item x="1"/>
        <item x="3"/>
        <item x="2"/>
        <item t="default"/>
      </items>
    </pivotField>
    <pivotField showAll="0">
      <items count="4">
        <item x="0"/>
        <item x="2"/>
        <item x="1"/>
        <item t="default"/>
      </items>
    </pivotField>
    <pivotField showAll="0"/>
    <pivotField showAll="0"/>
    <pivotField dataField="1" showAll="0"/>
    <pivotField showAll="0"/>
    <pivotField showAll="0"/>
    <pivotField showAll="0"/>
    <pivotField axis="axisRow" showAll="0">
      <items count="6">
        <item x="0"/>
        <item x="3"/>
        <item x="1"/>
        <item x="2"/>
        <item x="4"/>
        <item t="default"/>
      </items>
    </pivotField>
    <pivotField showAll="0"/>
    <pivotField showAll="0">
      <items count="7">
        <item x="0"/>
        <item x="4"/>
        <item x="5"/>
        <item x="3"/>
        <item x="1"/>
        <item x="2"/>
        <item t="default"/>
      </items>
    </pivotField>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s>
  <rowFields count="1">
    <field x="11"/>
  </rowFields>
  <rowItems count="6">
    <i>
      <x/>
    </i>
    <i>
      <x v="1"/>
    </i>
    <i>
      <x v="2"/>
    </i>
    <i>
      <x v="3"/>
    </i>
    <i>
      <x v="4"/>
    </i>
    <i t="grand">
      <x/>
    </i>
  </rowItems>
  <colItems count="1">
    <i/>
  </colItems>
  <dataFields count="1">
    <dataField name="Sum of Revenue" fld="7" baseField="0" baseItem="0" numFmtId="164"/>
  </dataFields>
  <formats count="5">
    <format dxfId="281">
      <pivotArea dataOnly="0" labelOnly="1" outline="0" axis="axisValues" fieldPosition="0"/>
    </format>
    <format dxfId="280">
      <pivotArea field="3" type="button" dataOnly="0" labelOnly="1" outline="0"/>
    </format>
    <format dxfId="279">
      <pivotArea field="13" type="button" dataOnly="0" labelOnly="1" outline="0"/>
    </format>
    <format dxfId="278">
      <pivotArea field="11" type="button" dataOnly="0" labelOnly="1" outline="0" axis="axisRow" fieldPosition="0"/>
    </format>
    <format dxfId="1">
      <pivotArea outline="0" collapsedLevelsAreSubtotals="1" fieldPosition="0"/>
    </format>
  </formats>
  <conditionalFormats count="1">
    <conditionalFormat type="all" priority="4">
      <pivotAreas count="1">
        <pivotArea fieldPosition="0">
          <references count="1">
            <reference field="11" count="0"/>
          </references>
        </pivotArea>
      </pivotAreas>
    </conditionalFormat>
  </conditionalFormat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1" count="1" selected="0">
            <x v="0"/>
          </reference>
        </references>
      </pivotArea>
    </chartFormat>
    <chartFormat chart="1" format="2">
      <pivotArea type="data" outline="0" fieldPosition="0">
        <references count="2">
          <reference field="4294967294" count="1" selected="0">
            <x v="0"/>
          </reference>
          <reference field="11" count="1" selected="0">
            <x v="1"/>
          </reference>
        </references>
      </pivotArea>
    </chartFormat>
    <chartFormat chart="1" format="3">
      <pivotArea type="data" outline="0" fieldPosition="0">
        <references count="2">
          <reference field="4294967294" count="1" selected="0">
            <x v="0"/>
          </reference>
          <reference field="11" count="1" selected="0">
            <x v="2"/>
          </reference>
        </references>
      </pivotArea>
    </chartFormat>
    <chartFormat chart="1" format="4">
      <pivotArea type="data" outline="0" fieldPosition="0">
        <references count="2">
          <reference field="4294967294" count="1" selected="0">
            <x v="0"/>
          </reference>
          <reference field="11" count="1" selected="0">
            <x v="3"/>
          </reference>
        </references>
      </pivotArea>
    </chartFormat>
    <chartFormat chart="1" format="5">
      <pivotArea type="data" outline="0" fieldPosition="0">
        <references count="2">
          <reference field="4294967294" count="1" selected="0">
            <x v="0"/>
          </reference>
          <reference field="11" count="1" selected="0">
            <x v="4"/>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1" count="1" selected="0">
            <x v="0"/>
          </reference>
        </references>
      </pivotArea>
    </chartFormat>
    <chartFormat chart="5" format="14">
      <pivotArea type="data" outline="0" fieldPosition="0">
        <references count="2">
          <reference field="4294967294" count="1" selected="0">
            <x v="0"/>
          </reference>
          <reference field="11" count="1" selected="0">
            <x v="1"/>
          </reference>
        </references>
      </pivotArea>
    </chartFormat>
    <chartFormat chart="5" format="15">
      <pivotArea type="data" outline="0" fieldPosition="0">
        <references count="2">
          <reference field="4294967294" count="1" selected="0">
            <x v="0"/>
          </reference>
          <reference field="11" count="1" selected="0">
            <x v="2"/>
          </reference>
        </references>
      </pivotArea>
    </chartFormat>
    <chartFormat chart="5" format="16">
      <pivotArea type="data" outline="0" fieldPosition="0">
        <references count="2">
          <reference field="4294967294" count="1" selected="0">
            <x v="0"/>
          </reference>
          <reference field="11" count="1" selected="0">
            <x v="3"/>
          </reference>
        </references>
      </pivotArea>
    </chartFormat>
    <chartFormat chart="5" format="17">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CF3FA4-36DD-4050-97E9-244BD5FC417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3:N10" firstHeaderRow="1" firstDataRow="1" firstDataCol="1"/>
  <pivotFields count="25">
    <pivotField showAll="0"/>
    <pivotField showAll="0"/>
    <pivotField showAll="0"/>
    <pivotField showAll="0">
      <items count="9">
        <item x="7"/>
        <item x="0"/>
        <item x="5"/>
        <item x="4"/>
        <item x="6"/>
        <item x="1"/>
        <item x="3"/>
        <item x="2"/>
        <item t="default"/>
      </items>
    </pivotField>
    <pivotField showAll="0"/>
    <pivotField showAll="0"/>
    <pivotField showAll="0"/>
    <pivotField dataField="1" showAll="0"/>
    <pivotField showAll="0"/>
    <pivotField showAll="0"/>
    <pivotField showAll="0"/>
    <pivotField showAll="0">
      <items count="6">
        <item x="0"/>
        <item x="3"/>
        <item x="1"/>
        <item x="2"/>
        <item x="4"/>
        <item t="default"/>
      </items>
    </pivotField>
    <pivotField showAll="0"/>
    <pivotField axis="axisRow" showAll="0">
      <items count="7">
        <item x="0"/>
        <item x="4"/>
        <item x="5"/>
        <item x="3"/>
        <item x="1"/>
        <item x="2"/>
        <item t="default"/>
      </items>
    </pivotField>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s>
  <rowFields count="1">
    <field x="13"/>
  </rowFields>
  <rowItems count="7">
    <i>
      <x/>
    </i>
    <i>
      <x v="1"/>
    </i>
    <i>
      <x v="2"/>
    </i>
    <i>
      <x v="3"/>
    </i>
    <i>
      <x v="4"/>
    </i>
    <i>
      <x v="5"/>
    </i>
    <i t="grand">
      <x/>
    </i>
  </rowItems>
  <colItems count="1">
    <i/>
  </colItems>
  <dataFields count="1">
    <dataField name="Sum of Revenue" fld="7" baseField="0" baseItem="0"/>
  </dataFields>
  <formats count="3">
    <format dxfId="284">
      <pivotArea dataOnly="0" labelOnly="1" outline="0" axis="axisValues" fieldPosition="0"/>
    </format>
    <format dxfId="283">
      <pivotArea field="3" type="button" dataOnly="0" labelOnly="1" outline="0"/>
    </format>
    <format dxfId="282">
      <pivotArea field="13" type="button" dataOnly="0" labelOnly="1" outline="0" axis="axisRow" fieldPosition="0"/>
    </format>
  </formats>
  <conditionalFormats count="1">
    <conditionalFormat type="all" priority="6">
      <pivotAreas count="1">
        <pivotArea fieldPosition="0">
          <references count="1">
            <reference field="13" count="0"/>
          </references>
        </pivotArea>
      </pivotAreas>
    </conditionalFormat>
  </conditionalFormat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19A32B-2146-4730-A4EE-D573198335E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25">
    <pivotField showAll="0"/>
    <pivotField showAll="0"/>
    <pivotField showAll="0"/>
    <pivotField showAll="0"/>
    <pivotField showAll="0"/>
    <pivotField showAll="0"/>
    <pivotField showAll="0"/>
    <pivotField showAll="0"/>
    <pivotField showAll="0"/>
    <pivotField showAll="0"/>
    <pivotField showAll="0"/>
    <pivotField showAll="0">
      <items count="6">
        <item x="0"/>
        <item x="3"/>
        <item x="1"/>
        <item x="2"/>
        <item x="4"/>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items count="4">
        <item x="1"/>
        <item x="2"/>
        <item x="0"/>
        <item t="default"/>
      </items>
    </pivotField>
    <pivotField showAll="0"/>
  </pivotFields>
  <rowItems count="1">
    <i/>
  </rowItems>
  <colItems count="1">
    <i/>
  </colItems>
  <dataFields count="1">
    <dataField name="Sum of Tax" fld="19" baseField="0" baseItem="0"/>
  </dataFields>
  <formats count="1">
    <format dxfId="28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536498-7DFB-4428-9049-43B9C528F31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5">
    <pivotField showAll="0"/>
    <pivotField showAll="0"/>
    <pivotField showAll="0"/>
    <pivotField showAll="0"/>
    <pivotField showAll="0"/>
    <pivotField showAll="0"/>
    <pivotField showAll="0"/>
    <pivotField showAll="0"/>
    <pivotField showAll="0"/>
    <pivotField showAll="0"/>
    <pivotField showAll="0"/>
    <pivotField showAll="0">
      <items count="6">
        <item x="0"/>
        <item x="3"/>
        <item x="1"/>
        <item x="2"/>
        <item x="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items count="4">
        <item x="1"/>
        <item x="2"/>
        <item x="0"/>
        <item t="default"/>
      </items>
    </pivotField>
    <pivotField showAll="0"/>
  </pivotFields>
  <rowItems count="1">
    <i/>
  </rowItems>
  <colItems count="1">
    <i/>
  </colItems>
  <dataFields count="1">
    <dataField name="Sum of Net_Profit" fld="22" baseField="0" baseItem="0"/>
  </dataFields>
  <formats count="1">
    <format dxfId="28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810DC1-C977-4C9E-95ED-DA1FAC5D1B0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T3:U7" firstHeaderRow="1" firstDataRow="1" firstDataCol="1"/>
  <pivotFields count="25">
    <pivotField showAll="0"/>
    <pivotField showAll="0"/>
    <pivotField showAll="0"/>
    <pivotField showAll="0">
      <items count="9">
        <item x="7"/>
        <item x="0"/>
        <item x="5"/>
        <item x="4"/>
        <item x="6"/>
        <item x="1"/>
        <item x="3"/>
        <item x="2"/>
        <item t="default"/>
      </items>
    </pivotField>
    <pivotField axis="axisRow" showAll="0">
      <items count="4">
        <item x="0"/>
        <item x="2"/>
        <item x="1"/>
        <item t="default"/>
      </items>
    </pivotField>
    <pivotField showAll="0"/>
    <pivotField showAll="0"/>
    <pivotField dataField="1" showAll="0"/>
    <pivotField showAll="0"/>
    <pivotField showAll="0"/>
    <pivotField showAll="0"/>
    <pivotField showAll="0">
      <items count="6">
        <item x="0"/>
        <item x="3"/>
        <item x="1"/>
        <item x="2"/>
        <item x="4"/>
        <item t="default"/>
      </items>
    </pivotField>
    <pivotField showAll="0"/>
    <pivotField showAll="0">
      <items count="7">
        <item x="0"/>
        <item x="4"/>
        <item x="5"/>
        <item x="3"/>
        <item x="1"/>
        <item x="2"/>
        <item t="default"/>
      </items>
    </pivotField>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s>
  <rowFields count="1">
    <field x="4"/>
  </rowFields>
  <rowItems count="4">
    <i>
      <x/>
    </i>
    <i>
      <x v="1"/>
    </i>
    <i>
      <x v="2"/>
    </i>
    <i t="grand">
      <x/>
    </i>
  </rowItems>
  <colItems count="1">
    <i/>
  </colItems>
  <dataFields count="1">
    <dataField name="Sum of Revenue" fld="7" baseField="0" baseItem="0"/>
  </dataFields>
  <formats count="5">
    <format dxfId="291">
      <pivotArea dataOnly="0" labelOnly="1" outline="0" axis="axisValues" fieldPosition="0"/>
    </format>
    <format dxfId="290">
      <pivotArea field="3" type="button" dataOnly="0" labelOnly="1" outline="0"/>
    </format>
    <format dxfId="289">
      <pivotArea field="13" type="button" dataOnly="0" labelOnly="1" outline="0"/>
    </format>
    <format dxfId="288">
      <pivotArea field="11" type="button" dataOnly="0" labelOnly="1" outline="0"/>
    </format>
    <format dxfId="287">
      <pivotArea field="4" type="button" dataOnly="0" labelOnly="1" outline="0" axis="axisRow" fieldPosition="0"/>
    </format>
  </formats>
  <chartFormats count="4">
    <chartFormat chart="1" format="0" series="1">
      <pivotArea type="data" outline="0" fieldPosition="0">
        <references count="1">
          <reference field="4294967294" count="1" selected="0">
            <x v="0"/>
          </reference>
        </references>
      </pivotArea>
    </chartFormat>
    <chartFormat chart="5" format="1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B68C51-5FFF-4F63-B708-B8CAEADFADD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3:J12" firstHeaderRow="1" firstDataRow="1" firstDataCol="1"/>
  <pivotFields count="25">
    <pivotField showAll="0"/>
    <pivotField showAll="0"/>
    <pivotField showAll="0"/>
    <pivotField axis="axisRow" showAll="0">
      <items count="9">
        <item x="7"/>
        <item x="0"/>
        <item x="5"/>
        <item x="4"/>
        <item x="6"/>
        <item x="1"/>
        <item x="3"/>
        <item x="2"/>
        <item t="default"/>
      </items>
    </pivotField>
    <pivotField showAll="0"/>
    <pivotField showAll="0"/>
    <pivotField showAll="0"/>
    <pivotField dataField="1" showAll="0"/>
    <pivotField showAll="0"/>
    <pivotField showAll="0"/>
    <pivotField showAll="0"/>
    <pivotField showAll="0">
      <items count="6">
        <item x="0"/>
        <item x="3"/>
        <item x="1"/>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s>
  <rowFields count="1">
    <field x="3"/>
  </rowFields>
  <rowItems count="9">
    <i>
      <x/>
    </i>
    <i>
      <x v="1"/>
    </i>
    <i>
      <x v="2"/>
    </i>
    <i>
      <x v="3"/>
    </i>
    <i>
      <x v="4"/>
    </i>
    <i>
      <x v="5"/>
    </i>
    <i>
      <x v="6"/>
    </i>
    <i>
      <x v="7"/>
    </i>
    <i t="grand">
      <x/>
    </i>
  </rowItems>
  <colItems count="1">
    <i/>
  </colItems>
  <dataFields count="1">
    <dataField name="Sum of Revenue" fld="7" baseField="0" baseItem="0"/>
  </dataFields>
  <formats count="2">
    <format dxfId="293">
      <pivotArea dataOnly="0" labelOnly="1" outline="0" axis="axisValues" fieldPosition="0"/>
    </format>
    <format dxfId="292">
      <pivotArea field="3" type="button" dataOnly="0" labelOnly="1" outline="0" axis="axisRow" fieldPosition="0"/>
    </format>
  </formats>
  <conditionalFormats count="1">
    <conditionalFormat type="all" priority="8">
      <pivotAreas count="1">
        <pivotArea fieldPosition="0">
          <references count="1">
            <reference field="3" count="0"/>
          </references>
        </pivotArea>
      </pivotAreas>
    </conditionalFormat>
  </conditional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100CB6D-9A99-4E9C-BB4C-097BF5DD6BA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5">
    <pivotField showAll="0"/>
    <pivotField showAll="0"/>
    <pivotField showAll="0"/>
    <pivotField showAll="0"/>
    <pivotField showAll="0"/>
    <pivotField showAll="0"/>
    <pivotField showAll="0"/>
    <pivotField dataField="1" showAll="0"/>
    <pivotField showAll="0"/>
    <pivotField showAll="0"/>
    <pivotField showAll="0"/>
    <pivotField showAll="0">
      <items count="6">
        <item x="0"/>
        <item x="3"/>
        <item x="1"/>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s>
  <rowItems count="1">
    <i/>
  </rowItems>
  <colItems count="1">
    <i/>
  </colItems>
  <dataFields count="1">
    <dataField name="Sum of Revenue" fld="7" baseField="0" baseItem="0"/>
  </dataFields>
  <formats count="1">
    <format dxfId="29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6B4F97-0C43-43C4-AC13-6F70E6255211}"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6:G7" firstHeaderRow="1" firstDataRow="1" firstDataCol="0"/>
  <pivotFields count="25">
    <pivotField showAll="0"/>
    <pivotField showAll="0"/>
    <pivotField showAll="0"/>
    <pivotField showAll="0"/>
    <pivotField showAll="0"/>
    <pivotField showAll="0"/>
    <pivotField showAll="0"/>
    <pivotField showAll="0"/>
    <pivotField showAll="0"/>
    <pivotField showAll="0"/>
    <pivotField showAll="0"/>
    <pivotField showAll="0">
      <items count="6">
        <item x="0"/>
        <item x="3"/>
        <item x="1"/>
        <item x="2"/>
        <item x="4"/>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items count="4">
        <item x="1"/>
        <item x="2"/>
        <item x="0"/>
        <item t="default"/>
      </items>
    </pivotField>
    <pivotField showAll="0"/>
  </pivotFields>
  <rowItems count="1">
    <i/>
  </rowItems>
  <colItems count="1">
    <i/>
  </colItems>
  <dataFields count="1">
    <dataField name="Sum of Interest" fld="18" baseField="0" baseItem="0"/>
  </dataFields>
  <formats count="1">
    <format dxfId="29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FA6CC4F-71C8-4049-B967-118944B7A2B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E7" firstHeaderRow="1" firstDataRow="1" firstDataCol="0"/>
  <pivotFields count="25">
    <pivotField showAll="0"/>
    <pivotField showAll="0"/>
    <pivotField showAll="0"/>
    <pivotField showAll="0"/>
    <pivotField showAll="0"/>
    <pivotField showAll="0"/>
    <pivotField showAll="0"/>
    <pivotField showAll="0"/>
    <pivotField showAll="0"/>
    <pivotField showAll="0"/>
    <pivotField showAll="0"/>
    <pivotField showAll="0">
      <items count="6">
        <item x="0"/>
        <item x="3"/>
        <item x="1"/>
        <item x="2"/>
        <item x="4"/>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items count="4">
        <item x="1"/>
        <item x="2"/>
        <item x="0"/>
        <item t="default"/>
      </items>
    </pivotField>
    <pivotField showAll="0"/>
  </pivotFields>
  <rowItems count="1">
    <i/>
  </rowItems>
  <colItems count="1">
    <i/>
  </colItems>
  <dataFields count="1">
    <dataField name="Sum of Amortization" fld="21" baseField="0" baseItem="0"/>
  </dataFields>
  <formats count="1">
    <format dxfId="29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FD30F69-C131-4275-9359-DE36A1BD54D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5">
    <pivotField showAll="0"/>
    <pivotField showAll="0"/>
    <pivotField showAll="0"/>
    <pivotField showAll="0"/>
    <pivotField showAll="0"/>
    <pivotField showAll="0"/>
    <pivotField showAll="0"/>
    <pivotField showAll="0"/>
    <pivotField showAll="0"/>
    <pivotField showAll="0"/>
    <pivotField dataField="1" showAll="0"/>
    <pivotField showAll="0">
      <items count="6">
        <item x="0"/>
        <item x="3"/>
        <item x="1"/>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s>
  <rowItems count="1">
    <i/>
  </rowItems>
  <colItems count="1">
    <i/>
  </colItems>
  <dataFields count="1">
    <dataField name="Sum of Gross_Profit" fld="10" baseField="0" baseItem="0"/>
  </dataFields>
  <formats count="1">
    <format dxfId="29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481C741-F7A0-4569-80E0-56DE5921A2D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C7" firstHeaderRow="1" firstDataRow="1" firstDataCol="0"/>
  <pivotFields count="25">
    <pivotField showAll="0"/>
    <pivotField showAll="0"/>
    <pivotField showAll="0"/>
    <pivotField showAll="0"/>
    <pivotField showAll="0"/>
    <pivotField showAll="0"/>
    <pivotField showAll="0"/>
    <pivotField showAll="0"/>
    <pivotField showAll="0"/>
    <pivotField showAll="0"/>
    <pivotField showAll="0"/>
    <pivotField showAll="0">
      <items count="6">
        <item x="0"/>
        <item x="3"/>
        <item x="1"/>
        <item x="2"/>
        <item x="4"/>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items count="4">
        <item x="1"/>
        <item x="2"/>
        <item x="0"/>
        <item t="default"/>
      </items>
    </pivotField>
    <pivotField showAll="0"/>
  </pivotFields>
  <rowItems count="1">
    <i/>
  </rowItems>
  <colItems count="1">
    <i/>
  </colItems>
  <dataFields count="1">
    <dataField name="Sum of Depreciation" fld="20" baseField="0" baseItem="0"/>
  </dataFields>
  <formats count="1">
    <format dxfId="29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4E6558A-897E-4395-92A7-ADB1FEDA7E49}" sourceName="Category">
  <pivotTables>
    <pivotTable tabId="5" name="PivotTable7"/>
    <pivotTable tabId="5" name="PivotTable14"/>
  </pivotTables>
  <data>
    <tabular pivotCacheId="141283825">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529D2F3-3DA9-474A-AE8B-C1AD2E5DC88C}" sourceName="Payment_Method">
  <pivotTables>
    <pivotTable tabId="5" name="PivotTable7"/>
    <pivotTable tabId="5" name="PivotTable1"/>
    <pivotTable tabId="5" name="PivotTable10"/>
    <pivotTable tabId="5" name="PivotTable11"/>
    <pivotTable tabId="5" name="PivotTable2"/>
    <pivotTable tabId="5" name="PivotTable3"/>
    <pivotTable tabId="5" name="PivotTable4"/>
    <pivotTable tabId="5" name="PivotTable5"/>
    <pivotTable tabId="5" name="PivotTable6"/>
    <pivotTable tabId="5" name="PivotTable8"/>
    <pivotTable tabId="5" name="PivotTable9"/>
    <pivotTable tabId="5" name="PivotTable14"/>
  </pivotTables>
  <data>
    <tabular pivotCacheId="141283825">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346ED2D-DE7E-47C6-B951-6F91B8B93540}" sourceName="Product">
  <pivotTables>
    <pivotTable tabId="5" name="PivotTable7"/>
    <pivotTable tabId="5" name="PivotTable14"/>
  </pivotTables>
  <data>
    <tabular pivotCacheId="141283825">
      <items count="8">
        <i x="7" s="1"/>
        <i x="0" s="1"/>
        <i x="5" s="1"/>
        <i x="4" s="1"/>
        <i x="6" s="1"/>
        <i x="1"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ing_Channel" xr10:uid="{5B6F3051-3533-4E2C-9BA1-357F15264E46}" sourceName="Marketing_Channel">
  <pivotTables>
    <pivotTable tabId="5" name="PivotTable6"/>
    <pivotTable tabId="5" name="PivotTable1"/>
    <pivotTable tabId="5" name="PivotTable10"/>
    <pivotTable tabId="5" name="PivotTable11"/>
    <pivotTable tabId="5" name="PivotTable14"/>
    <pivotTable tabId="5" name="PivotTable2"/>
    <pivotTable tabId="5" name="PivotTable3"/>
    <pivotTable tabId="5" name="PivotTable4"/>
    <pivotTable tabId="5" name="PivotTable5"/>
    <pivotTable tabId="5" name="PivotTable7"/>
    <pivotTable tabId="5" name="PivotTable8"/>
    <pivotTable tabId="5" name="PivotTable9"/>
  </pivotTables>
  <data>
    <tabular pivotCacheId="141283825">
      <items count="5">
        <i x="0" s="1"/>
        <i x="3" s="1"/>
        <i x="1"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D88FE14D-56ED-49FD-9356-945A9A659301}" cache="Slicer_Category" caption="Category" style="SlicerStyleLight4" rowHeight="234950"/>
  <slicer name="Payment_Method 1" xr10:uid="{8CE9D10A-8ABB-4CAD-BD6C-761AD60D06D9}" cache="Slicer_Payment_Method" caption="Payment_Method" style="SlicerStyleLight4" rowHeight="234950"/>
  <slicer name="Product" xr10:uid="{46B2FE02-D17C-40C6-ABAD-0099D277B2EC}" cache="Slicer_Product" caption="Product" columnCount="2" style="SlicerStyleLight4" rowHeight="234950"/>
  <slicer name="Marketing_Channel" xr10:uid="{10EB5F65-31D1-4C39-B1D8-BE85E115463F}" cache="Slicer_Marketing_Channel" caption="Marketing_Channel" style="SlicerStyleLigh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1D614-9C3B-43EB-AA2A-5A8A2582666D}">
  <dimension ref="A3:AL14"/>
  <sheetViews>
    <sheetView showGridLines="0" topLeftCell="G2" zoomScale="85" zoomScaleNormal="85" workbookViewId="0">
      <selection activeCell="Q4" sqref="Q4:Q9"/>
    </sheetView>
  </sheetViews>
  <sheetFormatPr defaultRowHeight="14.4" x14ac:dyDescent="0.3"/>
  <cols>
    <col min="1" max="1" width="10.6640625" bestFit="1" customWidth="1"/>
    <col min="2" max="2" width="10.44140625" bestFit="1" customWidth="1"/>
    <col min="3" max="3" width="19.44140625" bestFit="1" customWidth="1"/>
    <col min="5" max="5" width="18.88671875" bestFit="1" customWidth="1"/>
    <col min="7" max="7" width="17.21875" bestFit="1" customWidth="1"/>
    <col min="9" max="9" width="13.44140625" bestFit="1" customWidth="1"/>
    <col min="10" max="10" width="15.5546875" bestFit="1" customWidth="1"/>
    <col min="12" max="12" width="25.6640625" customWidth="1"/>
    <col min="13" max="13" width="13.44140625" bestFit="1" customWidth="1"/>
    <col min="14" max="14" width="15.5546875" bestFit="1" customWidth="1"/>
    <col min="15" max="15" width="21.33203125" customWidth="1"/>
    <col min="16" max="16" width="13.44140625" bestFit="1" customWidth="1"/>
    <col min="17" max="17" width="15.5546875" bestFit="1" customWidth="1"/>
    <col min="19" max="19" width="12" customWidth="1"/>
    <col min="20" max="20" width="13.44140625" bestFit="1" customWidth="1"/>
    <col min="21" max="21" width="15.5546875" bestFit="1" customWidth="1"/>
    <col min="22" max="22" width="12.88671875" bestFit="1" customWidth="1"/>
    <col min="23" max="23" width="20.77734375" bestFit="1" customWidth="1"/>
    <col min="37" max="38" width="13" bestFit="1" customWidth="1"/>
  </cols>
  <sheetData>
    <row r="3" spans="1:38" x14ac:dyDescent="0.3">
      <c r="A3" s="2" t="s">
        <v>602</v>
      </c>
      <c r="C3" s="2" t="s">
        <v>603</v>
      </c>
      <c r="E3" s="2" t="s">
        <v>604</v>
      </c>
      <c r="G3" s="2" t="s">
        <v>605</v>
      </c>
      <c r="I3" s="2" t="s">
        <v>606</v>
      </c>
      <c r="J3" s="2" t="s">
        <v>602</v>
      </c>
      <c r="M3" s="2" t="s">
        <v>606</v>
      </c>
      <c r="N3" s="2" t="s">
        <v>602</v>
      </c>
      <c r="P3" s="2" t="s">
        <v>606</v>
      </c>
      <c r="Q3" s="2" t="s">
        <v>602</v>
      </c>
      <c r="T3" s="2" t="s">
        <v>606</v>
      </c>
      <c r="U3" s="2" t="s">
        <v>602</v>
      </c>
    </row>
    <row r="4" spans="1:38" x14ac:dyDescent="0.3">
      <c r="A4" s="7">
        <v>403820</v>
      </c>
      <c r="C4" s="7">
        <v>179260</v>
      </c>
      <c r="E4" s="7">
        <v>224560</v>
      </c>
      <c r="G4" s="7">
        <v>115004.69999999998</v>
      </c>
      <c r="I4" s="3" t="s">
        <v>109</v>
      </c>
      <c r="J4" s="7">
        <v>44400</v>
      </c>
      <c r="M4" s="3" t="s">
        <v>31</v>
      </c>
      <c r="N4" s="7">
        <v>73830</v>
      </c>
      <c r="P4" s="3" t="s">
        <v>29</v>
      </c>
      <c r="Q4" s="8">
        <v>88620</v>
      </c>
      <c r="T4" s="3" t="s">
        <v>28</v>
      </c>
      <c r="U4" s="7">
        <v>287340</v>
      </c>
    </row>
    <row r="5" spans="1:38" x14ac:dyDescent="0.3">
      <c r="I5" s="3" t="s">
        <v>27</v>
      </c>
      <c r="J5" s="7">
        <v>64400</v>
      </c>
      <c r="M5" s="3" t="s">
        <v>81</v>
      </c>
      <c r="N5" s="7">
        <v>66340</v>
      </c>
      <c r="P5" s="3" t="s">
        <v>55</v>
      </c>
      <c r="Q5" s="8">
        <v>79770</v>
      </c>
      <c r="T5" s="3" t="s">
        <v>50</v>
      </c>
      <c r="U5" s="7">
        <v>89040</v>
      </c>
    </row>
    <row r="6" spans="1:38" x14ac:dyDescent="0.3">
      <c r="C6" s="2" t="s">
        <v>612</v>
      </c>
      <c r="E6" s="2" t="s">
        <v>613</v>
      </c>
      <c r="G6" s="2" t="s">
        <v>614</v>
      </c>
      <c r="I6" s="3" t="s">
        <v>62</v>
      </c>
      <c r="J6" s="7">
        <v>60000</v>
      </c>
      <c r="M6" s="3" t="s">
        <v>90</v>
      </c>
      <c r="N6" s="7">
        <v>74110</v>
      </c>
      <c r="P6" s="3" t="s">
        <v>37</v>
      </c>
      <c r="Q6" s="8">
        <v>75770</v>
      </c>
      <c r="T6" s="3" t="s">
        <v>43</v>
      </c>
      <c r="U6" s="7">
        <v>27440</v>
      </c>
      <c r="AL6" s="4">
        <f>GETPIVOTDATA("Revenue",$A$3)</f>
        <v>403820</v>
      </c>
    </row>
    <row r="7" spans="1:38" x14ac:dyDescent="0.3">
      <c r="A7" s="2" t="s">
        <v>611</v>
      </c>
      <c r="C7" s="7">
        <v>4493.5399999999981</v>
      </c>
      <c r="E7" s="7">
        <v>1516.1500000000026</v>
      </c>
      <c r="G7" s="7">
        <v>2486.2300000000018</v>
      </c>
      <c r="I7" s="3" t="s">
        <v>54</v>
      </c>
      <c r="J7" s="7">
        <v>36240</v>
      </c>
      <c r="M7" s="3" t="s">
        <v>51</v>
      </c>
      <c r="N7" s="7">
        <v>65700</v>
      </c>
      <c r="P7" s="3" t="s">
        <v>44</v>
      </c>
      <c r="Q7" s="8">
        <v>81170</v>
      </c>
      <c r="T7" s="3" t="s">
        <v>607</v>
      </c>
      <c r="U7" s="7">
        <v>403820</v>
      </c>
      <c r="AL7">
        <f>GETPIVOTDATA("Gross_Profit",$E$3)</f>
        <v>224560</v>
      </c>
    </row>
    <row r="8" spans="1:38" x14ac:dyDescent="0.3">
      <c r="A8" s="7">
        <v>8490.070000000007</v>
      </c>
      <c r="I8" s="3" t="s">
        <v>89</v>
      </c>
      <c r="J8" s="7">
        <v>56520</v>
      </c>
      <c r="M8" s="3" t="s">
        <v>39</v>
      </c>
      <c r="N8" s="7">
        <v>62790</v>
      </c>
      <c r="P8" s="3" t="s">
        <v>86</v>
      </c>
      <c r="Q8" s="8">
        <v>78490</v>
      </c>
      <c r="AL8" s="5">
        <f>(AL7/AL6)</f>
        <v>0.55608934673864596</v>
      </c>
    </row>
    <row r="9" spans="1:38" x14ac:dyDescent="0.3">
      <c r="I9" s="3" t="s">
        <v>36</v>
      </c>
      <c r="J9" s="7">
        <v>70180</v>
      </c>
      <c r="M9" s="3" t="s">
        <v>46</v>
      </c>
      <c r="N9" s="7">
        <v>61050</v>
      </c>
      <c r="P9" s="3" t="s">
        <v>607</v>
      </c>
      <c r="Q9" s="8">
        <v>403820</v>
      </c>
      <c r="AL9" s="6">
        <f>GETPIVOTDATA("Net_Profit",$G$3)</f>
        <v>115004.69999999998</v>
      </c>
    </row>
    <row r="10" spans="1:38" x14ac:dyDescent="0.3">
      <c r="I10" s="3" t="s">
        <v>49</v>
      </c>
      <c r="J10" s="7">
        <v>44640</v>
      </c>
      <c r="M10" s="3" t="s">
        <v>607</v>
      </c>
      <c r="N10" s="7">
        <v>403820</v>
      </c>
      <c r="AL10" s="5">
        <f>(AL9/AL6)</f>
        <v>0.28479198652865134</v>
      </c>
    </row>
    <row r="11" spans="1:38" x14ac:dyDescent="0.3">
      <c r="I11" s="3" t="s">
        <v>43</v>
      </c>
      <c r="J11" s="7">
        <v>27440</v>
      </c>
      <c r="P11" s="3" t="s">
        <v>610</v>
      </c>
    </row>
    <row r="12" spans="1:38" x14ac:dyDescent="0.3">
      <c r="I12" s="3" t="s">
        <v>607</v>
      </c>
      <c r="J12" s="7">
        <v>403820</v>
      </c>
      <c r="M12" s="3" t="s">
        <v>609</v>
      </c>
    </row>
    <row r="13" spans="1:38" x14ac:dyDescent="0.3">
      <c r="AK13" s="4">
        <f>AL9+GETPIVOTDATA("Tax",$A$7)+GETPIVOTDATA("Depreciation",$C$6)+GETPIVOTDATA("Amortization",$E$6)+GETPIVOTDATA("Interest",$G$6)</f>
        <v>131990.69</v>
      </c>
    </row>
    <row r="14" spans="1:38" x14ac:dyDescent="0.3">
      <c r="I14" s="3" t="s">
        <v>608</v>
      </c>
    </row>
  </sheetData>
  <conditionalFormatting pivot="1" sqref="J4:J11">
    <cfRule type="top10" dxfId="301" priority="8" rank="1"/>
  </conditionalFormatting>
  <conditionalFormatting pivot="1" sqref="N4:N9">
    <cfRule type="top10" dxfId="300" priority="6" rank="1"/>
  </conditionalFormatting>
  <conditionalFormatting pivot="1" sqref="Q4:Q8">
    <cfRule type="top10" dxfId="299" priority="4" rank="1"/>
  </conditionalFormatting>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38123-073F-4506-BB69-B0756FA47417}">
  <dimension ref="T1"/>
  <sheetViews>
    <sheetView showGridLines="0" tabSelected="1" zoomScale="69" zoomScaleNormal="60" workbookViewId="0">
      <selection activeCell="AE24" sqref="AE24"/>
    </sheetView>
  </sheetViews>
  <sheetFormatPr defaultRowHeight="14.4" x14ac:dyDescent="0.3"/>
  <cols>
    <col min="19" max="19" width="13.109375" customWidth="1"/>
    <col min="20" max="20" width="43" hidden="1" customWidth="1"/>
  </cols>
  <sheetData/>
  <pageMargins left="0.7" right="0.7" top="0.75" bottom="0.75" header="0.3" footer="0.3"/>
  <pageSetup paperSize="11"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9"/>
  <sheetViews>
    <sheetView workbookViewId="0">
      <selection activeCell="F17" sqref="F17"/>
    </sheetView>
  </sheetViews>
  <sheetFormatPr defaultRowHeight="14.4" x14ac:dyDescent="0.3"/>
  <sheetData>
    <row r="1" spans="1:1" x14ac:dyDescent="0.3">
      <c r="A1" s="1" t="s">
        <v>561</v>
      </c>
    </row>
    <row r="2" spans="1:1" x14ac:dyDescent="0.3">
      <c r="A2" t="s">
        <v>562</v>
      </c>
    </row>
    <row r="3" spans="1:1" x14ac:dyDescent="0.3">
      <c r="A3" t="s">
        <v>563</v>
      </c>
    </row>
    <row r="4" spans="1:1" x14ac:dyDescent="0.3">
      <c r="A4" t="s">
        <v>564</v>
      </c>
    </row>
    <row r="5" spans="1:1" x14ac:dyDescent="0.3">
      <c r="A5" t="s">
        <v>565</v>
      </c>
    </row>
    <row r="6" spans="1:1" x14ac:dyDescent="0.3">
      <c r="A6" t="s">
        <v>566</v>
      </c>
    </row>
    <row r="7" spans="1:1" x14ac:dyDescent="0.3">
      <c r="A7" t="s">
        <v>567</v>
      </c>
    </row>
    <row r="8" spans="1:1" x14ac:dyDescent="0.3">
      <c r="A8" t="s">
        <v>568</v>
      </c>
    </row>
    <row r="9" spans="1:1" x14ac:dyDescent="0.3">
      <c r="A9" t="s">
        <v>569</v>
      </c>
    </row>
    <row r="10" spans="1:1" x14ac:dyDescent="0.3">
      <c r="A10" t="s">
        <v>570</v>
      </c>
    </row>
    <row r="11" spans="1:1" x14ac:dyDescent="0.3">
      <c r="A11" t="s">
        <v>571</v>
      </c>
    </row>
    <row r="12" spans="1:1" x14ac:dyDescent="0.3">
      <c r="A12" t="s">
        <v>572</v>
      </c>
    </row>
    <row r="13" spans="1:1" x14ac:dyDescent="0.3">
      <c r="A13" t="s">
        <v>573</v>
      </c>
    </row>
    <row r="14" spans="1:1" x14ac:dyDescent="0.3">
      <c r="A14" t="s">
        <v>574</v>
      </c>
    </row>
    <row r="15" spans="1:1" x14ac:dyDescent="0.3">
      <c r="A15" t="s">
        <v>575</v>
      </c>
    </row>
    <row r="16" spans="1:1" x14ac:dyDescent="0.3">
      <c r="A16" t="s">
        <v>576</v>
      </c>
    </row>
    <row r="17" spans="1:1" x14ac:dyDescent="0.3">
      <c r="A17" t="s">
        <v>577</v>
      </c>
    </row>
    <row r="18" spans="1:1" x14ac:dyDescent="0.3">
      <c r="A18" t="s">
        <v>578</v>
      </c>
    </row>
    <row r="19" spans="1:1" x14ac:dyDescent="0.3">
      <c r="A19" t="s">
        <v>579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1"/>
  <sheetViews>
    <sheetView topLeftCell="J1" workbookViewId="0">
      <selection activeCell="J6" sqref="J6"/>
    </sheetView>
  </sheetViews>
  <sheetFormatPr defaultRowHeight="14.4" x14ac:dyDescent="0.3"/>
  <cols>
    <col min="3" max="3" width="16.33203125" customWidth="1"/>
    <col min="7" max="7" width="18" customWidth="1"/>
    <col min="9" max="9" width="13.5546875" customWidth="1"/>
    <col min="11" max="11" width="13.21875" customWidth="1"/>
    <col min="12" max="12" width="20.88671875" customWidth="1"/>
    <col min="13" max="13" width="15.88671875" customWidth="1"/>
    <col min="14" max="14" width="12" customWidth="1"/>
    <col min="15" max="15" width="16.77734375" customWidth="1"/>
    <col min="16" max="16" width="15.109375" customWidth="1"/>
    <col min="17" max="17" width="19.33203125" customWidth="1"/>
    <col min="18" max="18" width="27.44140625" customWidth="1"/>
    <col min="21" max="21" width="17.77734375" customWidth="1"/>
    <col min="22" max="22" width="13.5546875" customWidth="1"/>
    <col min="23" max="23" width="14.77734375" customWidth="1"/>
  </cols>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
      <c r="A2">
        <v>1</v>
      </c>
      <c r="B2" t="s">
        <v>25</v>
      </c>
      <c r="C2" t="s">
        <v>26</v>
      </c>
      <c r="D2" t="s">
        <v>27</v>
      </c>
      <c r="E2" t="s">
        <v>28</v>
      </c>
      <c r="F2">
        <v>4</v>
      </c>
      <c r="G2">
        <v>200</v>
      </c>
      <c r="H2">
        <v>800</v>
      </c>
      <c r="I2">
        <v>90</v>
      </c>
      <c r="J2">
        <v>360</v>
      </c>
      <c r="K2">
        <v>440</v>
      </c>
      <c r="L2" t="s">
        <v>29</v>
      </c>
      <c r="M2" t="s">
        <v>30</v>
      </c>
      <c r="N2" t="s">
        <v>31</v>
      </c>
      <c r="O2">
        <v>23.95</v>
      </c>
      <c r="P2">
        <v>36.26</v>
      </c>
      <c r="Q2">
        <v>8.42</v>
      </c>
      <c r="R2">
        <v>33.090000000000003</v>
      </c>
      <c r="S2">
        <v>4.82</v>
      </c>
      <c r="T2">
        <v>3.9</v>
      </c>
      <c r="U2">
        <v>5.48</v>
      </c>
      <c r="V2">
        <v>0.63</v>
      </c>
      <c r="W2">
        <v>323.45</v>
      </c>
      <c r="X2" t="s">
        <v>32</v>
      </c>
      <c r="Y2" t="s">
        <v>33</v>
      </c>
    </row>
    <row r="3" spans="1:25" x14ac:dyDescent="0.3">
      <c r="A3">
        <v>2</v>
      </c>
      <c r="B3" t="s">
        <v>34</v>
      </c>
      <c r="C3" t="s">
        <v>35</v>
      </c>
      <c r="D3" t="s">
        <v>36</v>
      </c>
      <c r="E3" t="s">
        <v>28</v>
      </c>
      <c r="F3">
        <v>1</v>
      </c>
      <c r="G3">
        <v>220</v>
      </c>
      <c r="H3">
        <v>220</v>
      </c>
      <c r="I3">
        <v>100</v>
      </c>
      <c r="J3">
        <v>100</v>
      </c>
      <c r="K3">
        <v>120</v>
      </c>
      <c r="L3" t="s">
        <v>37</v>
      </c>
      <c r="M3" t="s">
        <v>38</v>
      </c>
      <c r="N3" t="s">
        <v>39</v>
      </c>
      <c r="O3">
        <v>29.71</v>
      </c>
      <c r="P3">
        <v>44.7</v>
      </c>
      <c r="Q3">
        <v>17.87</v>
      </c>
      <c r="R3">
        <v>17.3</v>
      </c>
      <c r="S3">
        <v>2.88</v>
      </c>
      <c r="T3">
        <v>8.39</v>
      </c>
      <c r="U3">
        <v>1.48</v>
      </c>
      <c r="V3">
        <v>0.64</v>
      </c>
      <c r="W3">
        <v>-2.97</v>
      </c>
      <c r="X3" t="s">
        <v>32</v>
      </c>
      <c r="Y3" t="s">
        <v>40</v>
      </c>
    </row>
    <row r="4" spans="1:25" x14ac:dyDescent="0.3">
      <c r="A4">
        <v>3</v>
      </c>
      <c r="B4" t="s">
        <v>41</v>
      </c>
      <c r="C4" t="s">
        <v>42</v>
      </c>
      <c r="D4" t="s">
        <v>43</v>
      </c>
      <c r="E4" t="s">
        <v>43</v>
      </c>
      <c r="F4">
        <v>1</v>
      </c>
      <c r="G4">
        <v>80</v>
      </c>
      <c r="H4">
        <v>80</v>
      </c>
      <c r="I4">
        <v>30</v>
      </c>
      <c r="J4">
        <v>30</v>
      </c>
      <c r="K4">
        <v>50</v>
      </c>
      <c r="L4" t="s">
        <v>44</v>
      </c>
      <c r="M4" t="s">
        <v>45</v>
      </c>
      <c r="N4" t="s">
        <v>46</v>
      </c>
      <c r="O4">
        <v>13.55</v>
      </c>
      <c r="P4">
        <v>48.18</v>
      </c>
      <c r="Q4">
        <v>6.9</v>
      </c>
      <c r="R4">
        <v>31.09</v>
      </c>
      <c r="S4">
        <v>0.3</v>
      </c>
      <c r="T4">
        <v>2.09</v>
      </c>
      <c r="U4">
        <v>5.2</v>
      </c>
      <c r="V4">
        <v>1.25</v>
      </c>
      <c r="W4">
        <v>-58.56</v>
      </c>
      <c r="X4" t="s">
        <v>32</v>
      </c>
      <c r="Y4" t="s">
        <v>33</v>
      </c>
    </row>
    <row r="5" spans="1:25" x14ac:dyDescent="0.3">
      <c r="A5">
        <v>4</v>
      </c>
      <c r="B5" t="s">
        <v>47</v>
      </c>
      <c r="C5" t="s">
        <v>48</v>
      </c>
      <c r="D5" t="s">
        <v>49</v>
      </c>
      <c r="E5" t="s">
        <v>50</v>
      </c>
      <c r="F5">
        <v>4</v>
      </c>
      <c r="G5">
        <v>180</v>
      </c>
      <c r="H5">
        <v>720</v>
      </c>
      <c r="I5">
        <v>90</v>
      </c>
      <c r="J5">
        <v>360</v>
      </c>
      <c r="K5">
        <v>360</v>
      </c>
      <c r="L5" t="s">
        <v>44</v>
      </c>
      <c r="M5" t="s">
        <v>38</v>
      </c>
      <c r="N5" t="s">
        <v>51</v>
      </c>
      <c r="O5">
        <v>11.99</v>
      </c>
      <c r="P5">
        <v>31.3</v>
      </c>
      <c r="Q5">
        <v>15.23</v>
      </c>
      <c r="R5">
        <v>34.78</v>
      </c>
      <c r="S5">
        <v>4.5999999999999996</v>
      </c>
      <c r="T5">
        <v>7.29</v>
      </c>
      <c r="U5">
        <v>1.85</v>
      </c>
      <c r="V5">
        <v>2.36</v>
      </c>
      <c r="W5">
        <v>250.6</v>
      </c>
      <c r="X5" t="s">
        <v>32</v>
      </c>
      <c r="Y5" t="s">
        <v>33</v>
      </c>
    </row>
    <row r="6" spans="1:25" x14ac:dyDescent="0.3">
      <c r="A6">
        <v>5</v>
      </c>
      <c r="B6" t="s">
        <v>52</v>
      </c>
      <c r="C6" t="s">
        <v>53</v>
      </c>
      <c r="D6" t="s">
        <v>54</v>
      </c>
      <c r="E6" t="s">
        <v>28</v>
      </c>
      <c r="F6">
        <v>2</v>
      </c>
      <c r="G6">
        <v>120</v>
      </c>
      <c r="H6">
        <v>240</v>
      </c>
      <c r="I6">
        <v>50</v>
      </c>
      <c r="J6">
        <v>100</v>
      </c>
      <c r="K6">
        <v>140</v>
      </c>
      <c r="L6" t="s">
        <v>55</v>
      </c>
      <c r="M6" t="s">
        <v>56</v>
      </c>
      <c r="N6" t="s">
        <v>39</v>
      </c>
      <c r="O6">
        <v>16.47</v>
      </c>
      <c r="P6">
        <v>46.8</v>
      </c>
      <c r="Q6">
        <v>13.49</v>
      </c>
      <c r="R6">
        <v>9.1300000000000008</v>
      </c>
      <c r="S6">
        <v>1.6</v>
      </c>
      <c r="T6">
        <v>13.46</v>
      </c>
      <c r="U6">
        <v>3.16</v>
      </c>
      <c r="V6">
        <v>2.93</v>
      </c>
      <c r="W6">
        <v>32.96</v>
      </c>
      <c r="X6" t="s">
        <v>57</v>
      </c>
      <c r="Y6" t="s">
        <v>33</v>
      </c>
    </row>
    <row r="7" spans="1:25" x14ac:dyDescent="0.3">
      <c r="A7">
        <v>6</v>
      </c>
      <c r="B7" t="s">
        <v>58</v>
      </c>
      <c r="C7" t="s">
        <v>59</v>
      </c>
      <c r="D7" t="s">
        <v>54</v>
      </c>
      <c r="E7" t="s">
        <v>28</v>
      </c>
      <c r="F7">
        <v>3</v>
      </c>
      <c r="G7">
        <v>120</v>
      </c>
      <c r="H7">
        <v>360</v>
      </c>
      <c r="I7">
        <v>50</v>
      </c>
      <c r="J7">
        <v>150</v>
      </c>
      <c r="K7">
        <v>210</v>
      </c>
      <c r="L7" t="s">
        <v>29</v>
      </c>
      <c r="M7" t="s">
        <v>56</v>
      </c>
      <c r="N7" t="s">
        <v>46</v>
      </c>
      <c r="O7">
        <v>22.33</v>
      </c>
      <c r="P7">
        <v>46.92</v>
      </c>
      <c r="Q7">
        <v>15.02</v>
      </c>
      <c r="R7">
        <v>0.98</v>
      </c>
      <c r="S7">
        <v>1.4</v>
      </c>
      <c r="T7">
        <v>14.02</v>
      </c>
      <c r="U7">
        <v>2.4900000000000002</v>
      </c>
      <c r="V7">
        <v>1.8</v>
      </c>
      <c r="W7">
        <v>105.04</v>
      </c>
      <c r="X7" t="s">
        <v>57</v>
      </c>
      <c r="Y7" t="s">
        <v>33</v>
      </c>
    </row>
    <row r="8" spans="1:25" x14ac:dyDescent="0.3">
      <c r="A8">
        <v>7</v>
      </c>
      <c r="B8" t="s">
        <v>60</v>
      </c>
      <c r="C8" t="s">
        <v>61</v>
      </c>
      <c r="D8" t="s">
        <v>62</v>
      </c>
      <c r="E8" t="s">
        <v>28</v>
      </c>
      <c r="F8">
        <v>2</v>
      </c>
      <c r="G8">
        <v>250</v>
      </c>
      <c r="H8">
        <v>500</v>
      </c>
      <c r="I8">
        <v>110</v>
      </c>
      <c r="J8">
        <v>220</v>
      </c>
      <c r="K8">
        <v>280</v>
      </c>
      <c r="L8" t="s">
        <v>55</v>
      </c>
      <c r="M8" t="s">
        <v>63</v>
      </c>
      <c r="N8" t="s">
        <v>39</v>
      </c>
      <c r="O8">
        <v>17.18</v>
      </c>
      <c r="P8">
        <v>48.83</v>
      </c>
      <c r="Q8">
        <v>12.35</v>
      </c>
      <c r="R8">
        <v>21.62</v>
      </c>
      <c r="S8">
        <v>2.08</v>
      </c>
      <c r="T8">
        <v>8.2100000000000009</v>
      </c>
      <c r="U8">
        <v>3.3</v>
      </c>
      <c r="V8">
        <v>2.06</v>
      </c>
      <c r="W8">
        <v>164.37</v>
      </c>
      <c r="X8" t="s">
        <v>32</v>
      </c>
      <c r="Y8" t="s">
        <v>33</v>
      </c>
    </row>
    <row r="9" spans="1:25" x14ac:dyDescent="0.3">
      <c r="A9">
        <v>8</v>
      </c>
      <c r="B9" t="s">
        <v>64</v>
      </c>
      <c r="C9" t="s">
        <v>65</v>
      </c>
      <c r="D9" t="s">
        <v>49</v>
      </c>
      <c r="E9" t="s">
        <v>50</v>
      </c>
      <c r="F9">
        <v>4</v>
      </c>
      <c r="G9">
        <v>180</v>
      </c>
      <c r="H9">
        <v>720</v>
      </c>
      <c r="I9">
        <v>90</v>
      </c>
      <c r="J9">
        <v>360</v>
      </c>
      <c r="K9">
        <v>360</v>
      </c>
      <c r="L9" t="s">
        <v>55</v>
      </c>
      <c r="M9" t="s">
        <v>38</v>
      </c>
      <c r="N9" t="s">
        <v>46</v>
      </c>
      <c r="O9">
        <v>22.43</v>
      </c>
      <c r="P9">
        <v>39.99</v>
      </c>
      <c r="Q9">
        <v>6.09</v>
      </c>
      <c r="R9">
        <v>4.47</v>
      </c>
      <c r="S9">
        <v>2.61</v>
      </c>
      <c r="T9">
        <v>8.27</v>
      </c>
      <c r="U9">
        <v>3.38</v>
      </c>
      <c r="V9">
        <v>7.0000000000000007E-2</v>
      </c>
      <c r="W9">
        <v>272.69</v>
      </c>
      <c r="X9" t="s">
        <v>66</v>
      </c>
      <c r="Y9" t="s">
        <v>40</v>
      </c>
    </row>
    <row r="10" spans="1:25" x14ac:dyDescent="0.3">
      <c r="A10">
        <v>9</v>
      </c>
      <c r="B10" t="s">
        <v>67</v>
      </c>
      <c r="C10" t="s">
        <v>68</v>
      </c>
      <c r="D10" t="s">
        <v>36</v>
      </c>
      <c r="E10" t="s">
        <v>28</v>
      </c>
      <c r="F10">
        <v>3</v>
      </c>
      <c r="G10">
        <v>220</v>
      </c>
      <c r="H10">
        <v>660</v>
      </c>
      <c r="I10">
        <v>100</v>
      </c>
      <c r="J10">
        <v>300</v>
      </c>
      <c r="K10">
        <v>360</v>
      </c>
      <c r="L10" t="s">
        <v>29</v>
      </c>
      <c r="M10" t="s">
        <v>63</v>
      </c>
      <c r="N10" t="s">
        <v>51</v>
      </c>
      <c r="O10">
        <v>17.62</v>
      </c>
      <c r="P10">
        <v>41.16</v>
      </c>
      <c r="Q10">
        <v>16.690000000000001</v>
      </c>
      <c r="R10">
        <v>28.19</v>
      </c>
      <c r="S10">
        <v>3.02</v>
      </c>
      <c r="T10">
        <v>9.36</v>
      </c>
      <c r="U10">
        <v>6.35</v>
      </c>
      <c r="V10">
        <v>0.24</v>
      </c>
      <c r="W10">
        <v>237.37</v>
      </c>
      <c r="X10" t="s">
        <v>66</v>
      </c>
      <c r="Y10" t="s">
        <v>33</v>
      </c>
    </row>
    <row r="11" spans="1:25" x14ac:dyDescent="0.3">
      <c r="A11">
        <v>10</v>
      </c>
      <c r="B11" t="s">
        <v>69</v>
      </c>
      <c r="C11" t="s">
        <v>70</v>
      </c>
      <c r="D11" t="s">
        <v>54</v>
      </c>
      <c r="E11" t="s">
        <v>28</v>
      </c>
      <c r="F11">
        <v>1</v>
      </c>
      <c r="G11">
        <v>120</v>
      </c>
      <c r="H11">
        <v>120</v>
      </c>
      <c r="I11">
        <v>50</v>
      </c>
      <c r="J11">
        <v>50</v>
      </c>
      <c r="K11">
        <v>70</v>
      </c>
      <c r="L11" t="s">
        <v>44</v>
      </c>
      <c r="M11" t="s">
        <v>30</v>
      </c>
      <c r="N11" t="s">
        <v>46</v>
      </c>
      <c r="O11">
        <v>24.54</v>
      </c>
      <c r="P11">
        <v>50.33</v>
      </c>
      <c r="Q11">
        <v>6.14</v>
      </c>
      <c r="R11">
        <v>28.17</v>
      </c>
      <c r="S11">
        <v>1.06</v>
      </c>
      <c r="T11">
        <v>7.73</v>
      </c>
      <c r="U11">
        <v>2.3199999999999998</v>
      </c>
      <c r="V11">
        <v>0.59</v>
      </c>
      <c r="W11">
        <v>-50.88</v>
      </c>
      <c r="X11" t="s">
        <v>32</v>
      </c>
      <c r="Y11" t="s">
        <v>33</v>
      </c>
    </row>
    <row r="12" spans="1:25" x14ac:dyDescent="0.3">
      <c r="A12">
        <v>11</v>
      </c>
      <c r="B12" t="s">
        <v>71</v>
      </c>
      <c r="C12" t="s">
        <v>72</v>
      </c>
      <c r="D12" t="s">
        <v>62</v>
      </c>
      <c r="E12" t="s">
        <v>28</v>
      </c>
      <c r="F12">
        <v>3</v>
      </c>
      <c r="G12">
        <v>250</v>
      </c>
      <c r="H12">
        <v>750</v>
      </c>
      <c r="I12">
        <v>110</v>
      </c>
      <c r="J12">
        <v>330</v>
      </c>
      <c r="K12">
        <v>420</v>
      </c>
      <c r="L12" t="s">
        <v>37</v>
      </c>
      <c r="M12" t="s">
        <v>63</v>
      </c>
      <c r="N12" t="s">
        <v>39</v>
      </c>
      <c r="O12">
        <v>22.16</v>
      </c>
      <c r="P12">
        <v>43.28</v>
      </c>
      <c r="Q12">
        <v>16.29</v>
      </c>
      <c r="R12">
        <v>16.52</v>
      </c>
      <c r="S12">
        <v>4.75</v>
      </c>
      <c r="T12">
        <v>7.47</v>
      </c>
      <c r="U12">
        <v>7.65</v>
      </c>
      <c r="V12">
        <v>2.58</v>
      </c>
      <c r="W12">
        <v>299.3</v>
      </c>
      <c r="X12" t="s">
        <v>57</v>
      </c>
      <c r="Y12" t="s">
        <v>33</v>
      </c>
    </row>
    <row r="13" spans="1:25" x14ac:dyDescent="0.3">
      <c r="A13">
        <v>12</v>
      </c>
      <c r="B13" t="s">
        <v>73</v>
      </c>
      <c r="C13" t="s">
        <v>74</v>
      </c>
      <c r="D13" t="s">
        <v>36</v>
      </c>
      <c r="E13" t="s">
        <v>28</v>
      </c>
      <c r="F13">
        <v>4</v>
      </c>
      <c r="G13">
        <v>220</v>
      </c>
      <c r="H13">
        <v>880</v>
      </c>
      <c r="I13">
        <v>100</v>
      </c>
      <c r="J13">
        <v>400</v>
      </c>
      <c r="K13">
        <v>480</v>
      </c>
      <c r="L13" t="s">
        <v>37</v>
      </c>
      <c r="M13" t="s">
        <v>63</v>
      </c>
      <c r="N13" t="s">
        <v>51</v>
      </c>
      <c r="O13">
        <v>32.74</v>
      </c>
      <c r="P13">
        <v>25.53</v>
      </c>
      <c r="Q13">
        <v>19.329999999999998</v>
      </c>
      <c r="R13">
        <v>16.920000000000002</v>
      </c>
      <c r="S13">
        <v>0.56999999999999995</v>
      </c>
      <c r="T13">
        <v>8.9</v>
      </c>
      <c r="U13">
        <v>4.75</v>
      </c>
      <c r="V13">
        <v>0.61</v>
      </c>
      <c r="W13">
        <v>370.65</v>
      </c>
      <c r="X13" t="s">
        <v>57</v>
      </c>
      <c r="Y13" t="s">
        <v>33</v>
      </c>
    </row>
    <row r="14" spans="1:25" x14ac:dyDescent="0.3">
      <c r="A14">
        <v>13</v>
      </c>
      <c r="B14" t="s">
        <v>75</v>
      </c>
      <c r="C14" t="s">
        <v>76</v>
      </c>
      <c r="D14" t="s">
        <v>43</v>
      </c>
      <c r="E14" t="s">
        <v>43</v>
      </c>
      <c r="F14">
        <v>4</v>
      </c>
      <c r="G14">
        <v>80</v>
      </c>
      <c r="H14">
        <v>320</v>
      </c>
      <c r="I14">
        <v>30</v>
      </c>
      <c r="J14">
        <v>120</v>
      </c>
      <c r="K14">
        <v>200</v>
      </c>
      <c r="L14" t="s">
        <v>55</v>
      </c>
      <c r="M14" t="s">
        <v>56</v>
      </c>
      <c r="N14" t="s">
        <v>31</v>
      </c>
      <c r="O14">
        <v>24.75</v>
      </c>
      <c r="P14">
        <v>59.25</v>
      </c>
      <c r="Q14">
        <v>17.059999999999999</v>
      </c>
      <c r="R14">
        <v>17.829999999999998</v>
      </c>
      <c r="S14">
        <v>3.11</v>
      </c>
      <c r="T14">
        <v>10.69</v>
      </c>
      <c r="U14">
        <v>1.5</v>
      </c>
      <c r="V14">
        <v>2.56</v>
      </c>
      <c r="W14">
        <v>63.25</v>
      </c>
      <c r="X14" t="s">
        <v>57</v>
      </c>
      <c r="Y14" t="s">
        <v>33</v>
      </c>
    </row>
    <row r="15" spans="1:25" x14ac:dyDescent="0.3">
      <c r="A15">
        <v>14</v>
      </c>
      <c r="B15" t="s">
        <v>77</v>
      </c>
      <c r="C15" t="s">
        <v>78</v>
      </c>
      <c r="D15" t="s">
        <v>43</v>
      </c>
      <c r="E15" t="s">
        <v>43</v>
      </c>
      <c r="F15">
        <v>2</v>
      </c>
      <c r="G15">
        <v>80</v>
      </c>
      <c r="H15">
        <v>160</v>
      </c>
      <c r="I15">
        <v>30</v>
      </c>
      <c r="J15">
        <v>60</v>
      </c>
      <c r="K15">
        <v>100</v>
      </c>
      <c r="L15" t="s">
        <v>37</v>
      </c>
      <c r="M15" t="s">
        <v>38</v>
      </c>
      <c r="N15" t="s">
        <v>46</v>
      </c>
      <c r="O15">
        <v>18.21</v>
      </c>
      <c r="P15">
        <v>48.51</v>
      </c>
      <c r="Q15">
        <v>12.95</v>
      </c>
      <c r="R15">
        <v>6.86</v>
      </c>
      <c r="S15">
        <v>0.4</v>
      </c>
      <c r="T15">
        <v>12.39</v>
      </c>
      <c r="U15">
        <v>5.97</v>
      </c>
      <c r="V15">
        <v>2.57</v>
      </c>
      <c r="W15">
        <v>-7.86</v>
      </c>
      <c r="X15" t="s">
        <v>66</v>
      </c>
      <c r="Y15" t="s">
        <v>33</v>
      </c>
    </row>
    <row r="16" spans="1:25" x14ac:dyDescent="0.3">
      <c r="A16">
        <v>15</v>
      </c>
      <c r="B16" t="s">
        <v>79</v>
      </c>
      <c r="C16" t="s">
        <v>80</v>
      </c>
      <c r="D16" t="s">
        <v>36</v>
      </c>
      <c r="E16" t="s">
        <v>28</v>
      </c>
      <c r="F16">
        <v>2</v>
      </c>
      <c r="G16">
        <v>220</v>
      </c>
      <c r="H16">
        <v>440</v>
      </c>
      <c r="I16">
        <v>100</v>
      </c>
      <c r="J16">
        <v>200</v>
      </c>
      <c r="K16">
        <v>240</v>
      </c>
      <c r="L16" t="s">
        <v>55</v>
      </c>
      <c r="M16" t="s">
        <v>30</v>
      </c>
      <c r="N16" t="s">
        <v>81</v>
      </c>
      <c r="O16">
        <v>30.59</v>
      </c>
      <c r="P16">
        <v>52.82</v>
      </c>
      <c r="Q16">
        <v>8</v>
      </c>
      <c r="R16">
        <v>9.7100000000000009</v>
      </c>
      <c r="S16">
        <v>4.59</v>
      </c>
      <c r="T16">
        <v>13.89</v>
      </c>
      <c r="U16">
        <v>6.73</v>
      </c>
      <c r="V16">
        <v>0.56999999999999995</v>
      </c>
      <c r="W16">
        <v>113.1</v>
      </c>
      <c r="X16" t="s">
        <v>32</v>
      </c>
      <c r="Y16" t="s">
        <v>33</v>
      </c>
    </row>
    <row r="17" spans="1:25" x14ac:dyDescent="0.3">
      <c r="A17">
        <v>16</v>
      </c>
      <c r="B17" t="s">
        <v>82</v>
      </c>
      <c r="C17" t="s">
        <v>83</v>
      </c>
      <c r="D17" t="s">
        <v>49</v>
      </c>
      <c r="E17" t="s">
        <v>50</v>
      </c>
      <c r="F17">
        <v>2</v>
      </c>
      <c r="G17">
        <v>180</v>
      </c>
      <c r="H17">
        <v>360</v>
      </c>
      <c r="I17">
        <v>90</v>
      </c>
      <c r="J17">
        <v>180</v>
      </c>
      <c r="K17">
        <v>180</v>
      </c>
      <c r="L17" t="s">
        <v>37</v>
      </c>
      <c r="M17" t="s">
        <v>30</v>
      </c>
      <c r="N17" t="s">
        <v>39</v>
      </c>
      <c r="O17">
        <v>29.28</v>
      </c>
      <c r="P17">
        <v>59.71</v>
      </c>
      <c r="Q17">
        <v>13.16</v>
      </c>
      <c r="R17">
        <v>9.91</v>
      </c>
      <c r="S17">
        <v>1.9</v>
      </c>
      <c r="T17">
        <v>13.09</v>
      </c>
      <c r="U17">
        <v>3.09</v>
      </c>
      <c r="V17">
        <v>1.1499999999999999</v>
      </c>
      <c r="W17">
        <v>48.71</v>
      </c>
      <c r="X17" t="s">
        <v>57</v>
      </c>
      <c r="Y17" t="s">
        <v>33</v>
      </c>
    </row>
    <row r="18" spans="1:25" x14ac:dyDescent="0.3">
      <c r="A18">
        <v>17</v>
      </c>
      <c r="B18" t="s">
        <v>84</v>
      </c>
      <c r="C18" t="s">
        <v>85</v>
      </c>
      <c r="D18" t="s">
        <v>36</v>
      </c>
      <c r="E18" t="s">
        <v>28</v>
      </c>
      <c r="F18">
        <v>1</v>
      </c>
      <c r="G18">
        <v>220</v>
      </c>
      <c r="H18">
        <v>220</v>
      </c>
      <c r="I18">
        <v>100</v>
      </c>
      <c r="J18">
        <v>100</v>
      </c>
      <c r="K18">
        <v>120</v>
      </c>
      <c r="L18" t="s">
        <v>86</v>
      </c>
      <c r="M18" t="s">
        <v>63</v>
      </c>
      <c r="N18" t="s">
        <v>39</v>
      </c>
      <c r="O18">
        <v>36.31</v>
      </c>
      <c r="P18">
        <v>49.59</v>
      </c>
      <c r="Q18">
        <v>17.18</v>
      </c>
      <c r="R18">
        <v>13.05</v>
      </c>
      <c r="S18">
        <v>2.9</v>
      </c>
      <c r="T18">
        <v>10.59</v>
      </c>
      <c r="U18">
        <v>3.6</v>
      </c>
      <c r="V18">
        <v>2.71</v>
      </c>
      <c r="W18">
        <v>-15.93</v>
      </c>
      <c r="X18" t="s">
        <v>32</v>
      </c>
      <c r="Y18" t="s">
        <v>40</v>
      </c>
    </row>
    <row r="19" spans="1:25" x14ac:dyDescent="0.3">
      <c r="A19">
        <v>18</v>
      </c>
      <c r="B19" t="s">
        <v>87</v>
      </c>
      <c r="C19" t="s">
        <v>88</v>
      </c>
      <c r="D19" t="s">
        <v>89</v>
      </c>
      <c r="E19" t="s">
        <v>28</v>
      </c>
      <c r="F19">
        <v>2</v>
      </c>
      <c r="G19">
        <v>180</v>
      </c>
      <c r="H19">
        <v>360</v>
      </c>
      <c r="I19">
        <v>75</v>
      </c>
      <c r="J19">
        <v>150</v>
      </c>
      <c r="K19">
        <v>210</v>
      </c>
      <c r="L19" t="s">
        <v>29</v>
      </c>
      <c r="M19" t="s">
        <v>45</v>
      </c>
      <c r="N19" t="s">
        <v>90</v>
      </c>
      <c r="O19">
        <v>37.14</v>
      </c>
      <c r="P19">
        <v>29.37</v>
      </c>
      <c r="Q19">
        <v>18.87</v>
      </c>
      <c r="R19">
        <v>21.19</v>
      </c>
      <c r="S19">
        <v>4.7699999999999996</v>
      </c>
      <c r="T19">
        <v>7.03</v>
      </c>
      <c r="U19">
        <v>4.41</v>
      </c>
      <c r="V19">
        <v>1.65</v>
      </c>
      <c r="W19">
        <v>85.57</v>
      </c>
      <c r="X19" t="s">
        <v>32</v>
      </c>
      <c r="Y19" t="s">
        <v>33</v>
      </c>
    </row>
    <row r="20" spans="1:25" x14ac:dyDescent="0.3">
      <c r="A20">
        <v>19</v>
      </c>
      <c r="B20" t="s">
        <v>91</v>
      </c>
      <c r="C20" t="s">
        <v>92</v>
      </c>
      <c r="D20" t="s">
        <v>43</v>
      </c>
      <c r="E20" t="s">
        <v>43</v>
      </c>
      <c r="F20">
        <v>3</v>
      </c>
      <c r="G20">
        <v>80</v>
      </c>
      <c r="H20">
        <v>240</v>
      </c>
      <c r="I20">
        <v>30</v>
      </c>
      <c r="J20">
        <v>90</v>
      </c>
      <c r="K20">
        <v>150</v>
      </c>
      <c r="L20" t="s">
        <v>29</v>
      </c>
      <c r="M20" t="s">
        <v>63</v>
      </c>
      <c r="N20" t="s">
        <v>46</v>
      </c>
      <c r="O20">
        <v>32.99</v>
      </c>
      <c r="P20">
        <v>38.619999999999997</v>
      </c>
      <c r="Q20">
        <v>14.22</v>
      </c>
      <c r="R20">
        <v>8.2100000000000009</v>
      </c>
      <c r="S20">
        <v>4.49</v>
      </c>
      <c r="T20">
        <v>7.12</v>
      </c>
      <c r="U20">
        <v>3.69</v>
      </c>
      <c r="V20">
        <v>2.2000000000000002</v>
      </c>
      <c r="W20">
        <v>38.46</v>
      </c>
      <c r="X20" t="s">
        <v>66</v>
      </c>
      <c r="Y20" t="s">
        <v>40</v>
      </c>
    </row>
    <row r="21" spans="1:25" x14ac:dyDescent="0.3">
      <c r="A21">
        <v>20</v>
      </c>
      <c r="B21" t="s">
        <v>93</v>
      </c>
      <c r="C21" t="s">
        <v>94</v>
      </c>
      <c r="D21" t="s">
        <v>89</v>
      </c>
      <c r="E21" t="s">
        <v>28</v>
      </c>
      <c r="F21">
        <v>2</v>
      </c>
      <c r="G21">
        <v>180</v>
      </c>
      <c r="H21">
        <v>360</v>
      </c>
      <c r="I21">
        <v>75</v>
      </c>
      <c r="J21">
        <v>150</v>
      </c>
      <c r="K21">
        <v>210</v>
      </c>
      <c r="L21" t="s">
        <v>55</v>
      </c>
      <c r="M21" t="s">
        <v>45</v>
      </c>
      <c r="N21" t="s">
        <v>31</v>
      </c>
      <c r="O21">
        <v>24.24</v>
      </c>
      <c r="P21">
        <v>38.72</v>
      </c>
      <c r="Q21">
        <v>17.52</v>
      </c>
      <c r="R21">
        <v>31.85</v>
      </c>
      <c r="S21">
        <v>1.84</v>
      </c>
      <c r="T21">
        <v>12.81</v>
      </c>
      <c r="U21">
        <v>4.08</v>
      </c>
      <c r="V21">
        <v>0.37</v>
      </c>
      <c r="W21">
        <v>78.569999999999993</v>
      </c>
      <c r="X21" t="s">
        <v>66</v>
      </c>
      <c r="Y21" t="s">
        <v>33</v>
      </c>
    </row>
    <row r="22" spans="1:25" x14ac:dyDescent="0.3">
      <c r="A22">
        <v>21</v>
      </c>
      <c r="B22" t="s">
        <v>95</v>
      </c>
      <c r="C22" t="s">
        <v>96</v>
      </c>
      <c r="D22" t="s">
        <v>49</v>
      </c>
      <c r="E22" t="s">
        <v>50</v>
      </c>
      <c r="F22">
        <v>1</v>
      </c>
      <c r="G22">
        <v>180</v>
      </c>
      <c r="H22">
        <v>180</v>
      </c>
      <c r="I22">
        <v>90</v>
      </c>
      <c r="J22">
        <v>90</v>
      </c>
      <c r="K22">
        <v>90</v>
      </c>
      <c r="L22" t="s">
        <v>44</v>
      </c>
      <c r="M22" t="s">
        <v>30</v>
      </c>
      <c r="N22" t="s">
        <v>46</v>
      </c>
      <c r="O22">
        <v>18.41</v>
      </c>
      <c r="P22">
        <v>24.96</v>
      </c>
      <c r="Q22">
        <v>15.88</v>
      </c>
      <c r="R22">
        <v>29.99</v>
      </c>
      <c r="S22">
        <v>0.91</v>
      </c>
      <c r="T22">
        <v>11.31</v>
      </c>
      <c r="U22">
        <v>1.33</v>
      </c>
      <c r="V22">
        <v>1.04</v>
      </c>
      <c r="W22">
        <v>-13.83</v>
      </c>
      <c r="X22" t="s">
        <v>66</v>
      </c>
      <c r="Y22" t="s">
        <v>33</v>
      </c>
    </row>
    <row r="23" spans="1:25" x14ac:dyDescent="0.3">
      <c r="A23">
        <v>22</v>
      </c>
      <c r="B23" t="s">
        <v>97</v>
      </c>
      <c r="C23" t="s">
        <v>98</v>
      </c>
      <c r="D23" t="s">
        <v>89</v>
      </c>
      <c r="E23" t="s">
        <v>28</v>
      </c>
      <c r="F23">
        <v>2</v>
      </c>
      <c r="G23">
        <v>180</v>
      </c>
      <c r="H23">
        <v>360</v>
      </c>
      <c r="I23">
        <v>75</v>
      </c>
      <c r="J23">
        <v>150</v>
      </c>
      <c r="K23">
        <v>210</v>
      </c>
      <c r="L23" t="s">
        <v>86</v>
      </c>
      <c r="M23" t="s">
        <v>56</v>
      </c>
      <c r="N23" t="s">
        <v>81</v>
      </c>
      <c r="O23">
        <v>22.24</v>
      </c>
      <c r="P23">
        <v>23.07</v>
      </c>
      <c r="Q23">
        <v>10.07</v>
      </c>
      <c r="R23">
        <v>26.57</v>
      </c>
      <c r="S23">
        <v>3.05</v>
      </c>
      <c r="T23">
        <v>3.19</v>
      </c>
      <c r="U23">
        <v>5.76</v>
      </c>
      <c r="V23">
        <v>0.94</v>
      </c>
      <c r="W23">
        <v>115.11</v>
      </c>
      <c r="X23" t="s">
        <v>66</v>
      </c>
      <c r="Y23" t="s">
        <v>40</v>
      </c>
    </row>
    <row r="24" spans="1:25" x14ac:dyDescent="0.3">
      <c r="A24">
        <v>23</v>
      </c>
      <c r="B24" t="s">
        <v>99</v>
      </c>
      <c r="C24" t="s">
        <v>100</v>
      </c>
      <c r="D24" t="s">
        <v>36</v>
      </c>
      <c r="E24" t="s">
        <v>28</v>
      </c>
      <c r="F24">
        <v>2</v>
      </c>
      <c r="G24">
        <v>220</v>
      </c>
      <c r="H24">
        <v>440</v>
      </c>
      <c r="I24">
        <v>100</v>
      </c>
      <c r="J24">
        <v>200</v>
      </c>
      <c r="K24">
        <v>240</v>
      </c>
      <c r="L24" t="s">
        <v>37</v>
      </c>
      <c r="M24" t="s">
        <v>30</v>
      </c>
      <c r="N24" t="s">
        <v>51</v>
      </c>
      <c r="O24">
        <v>18.45</v>
      </c>
      <c r="P24">
        <v>29.54</v>
      </c>
      <c r="Q24">
        <v>16.57</v>
      </c>
      <c r="R24">
        <v>20.99</v>
      </c>
      <c r="S24">
        <v>1.65</v>
      </c>
      <c r="T24">
        <v>13.21</v>
      </c>
      <c r="U24">
        <v>2.38</v>
      </c>
      <c r="V24">
        <v>1.65</v>
      </c>
      <c r="W24">
        <v>135.56</v>
      </c>
      <c r="X24" t="s">
        <v>66</v>
      </c>
      <c r="Y24" t="s">
        <v>33</v>
      </c>
    </row>
    <row r="25" spans="1:25" x14ac:dyDescent="0.3">
      <c r="A25">
        <v>24</v>
      </c>
      <c r="B25" t="s">
        <v>101</v>
      </c>
      <c r="C25" t="s">
        <v>102</v>
      </c>
      <c r="D25" t="s">
        <v>36</v>
      </c>
      <c r="E25" t="s">
        <v>28</v>
      </c>
      <c r="F25">
        <v>4</v>
      </c>
      <c r="G25">
        <v>220</v>
      </c>
      <c r="H25">
        <v>880</v>
      </c>
      <c r="I25">
        <v>100</v>
      </c>
      <c r="J25">
        <v>400</v>
      </c>
      <c r="K25">
        <v>480</v>
      </c>
      <c r="L25" t="s">
        <v>29</v>
      </c>
      <c r="M25" t="s">
        <v>30</v>
      </c>
      <c r="N25" t="s">
        <v>31</v>
      </c>
      <c r="O25">
        <v>30.51</v>
      </c>
      <c r="P25">
        <v>17.329999999999998</v>
      </c>
      <c r="Q25">
        <v>6.45</v>
      </c>
      <c r="R25">
        <v>20.32</v>
      </c>
      <c r="S25">
        <v>2.2799999999999998</v>
      </c>
      <c r="T25">
        <v>3.13</v>
      </c>
      <c r="U25">
        <v>5.32</v>
      </c>
      <c r="V25">
        <v>2.8</v>
      </c>
      <c r="W25">
        <v>391.86</v>
      </c>
      <c r="X25" t="s">
        <v>32</v>
      </c>
      <c r="Y25" t="s">
        <v>40</v>
      </c>
    </row>
    <row r="26" spans="1:25" x14ac:dyDescent="0.3">
      <c r="A26">
        <v>25</v>
      </c>
      <c r="B26" t="s">
        <v>103</v>
      </c>
      <c r="C26" t="s">
        <v>104</v>
      </c>
      <c r="D26" t="s">
        <v>62</v>
      </c>
      <c r="E26" t="s">
        <v>28</v>
      </c>
      <c r="F26">
        <v>2</v>
      </c>
      <c r="G26">
        <v>250</v>
      </c>
      <c r="H26">
        <v>500</v>
      </c>
      <c r="I26">
        <v>110</v>
      </c>
      <c r="J26">
        <v>220</v>
      </c>
      <c r="K26">
        <v>280</v>
      </c>
      <c r="L26" t="s">
        <v>29</v>
      </c>
      <c r="M26" t="s">
        <v>63</v>
      </c>
      <c r="N26" t="s">
        <v>31</v>
      </c>
      <c r="O26">
        <v>31.15</v>
      </c>
      <c r="P26">
        <v>15.97</v>
      </c>
      <c r="Q26">
        <v>6.18</v>
      </c>
      <c r="R26">
        <v>33.03</v>
      </c>
      <c r="S26">
        <v>1.17</v>
      </c>
      <c r="T26">
        <v>7.97</v>
      </c>
      <c r="U26">
        <v>4.67</v>
      </c>
      <c r="V26">
        <v>0.18</v>
      </c>
      <c r="W26">
        <v>179.68</v>
      </c>
      <c r="X26" t="s">
        <v>32</v>
      </c>
      <c r="Y26" t="s">
        <v>40</v>
      </c>
    </row>
    <row r="27" spans="1:25" x14ac:dyDescent="0.3">
      <c r="A27">
        <v>26</v>
      </c>
      <c r="B27" t="s">
        <v>105</v>
      </c>
      <c r="C27" t="s">
        <v>106</v>
      </c>
      <c r="D27" t="s">
        <v>62</v>
      </c>
      <c r="E27" t="s">
        <v>28</v>
      </c>
      <c r="F27">
        <v>2</v>
      </c>
      <c r="G27">
        <v>250</v>
      </c>
      <c r="H27">
        <v>500</v>
      </c>
      <c r="I27">
        <v>110</v>
      </c>
      <c r="J27">
        <v>220</v>
      </c>
      <c r="K27">
        <v>280</v>
      </c>
      <c r="L27" t="s">
        <v>55</v>
      </c>
      <c r="M27" t="s">
        <v>63</v>
      </c>
      <c r="N27" t="s">
        <v>81</v>
      </c>
      <c r="O27">
        <v>35.93</v>
      </c>
      <c r="P27">
        <v>46.8</v>
      </c>
      <c r="Q27">
        <v>6.93</v>
      </c>
      <c r="R27">
        <v>12.4</v>
      </c>
      <c r="S27">
        <v>2.64</v>
      </c>
      <c r="T27">
        <v>7.01</v>
      </c>
      <c r="U27">
        <v>1.19</v>
      </c>
      <c r="V27">
        <v>0.79</v>
      </c>
      <c r="W27">
        <v>166.31</v>
      </c>
      <c r="X27" t="s">
        <v>57</v>
      </c>
      <c r="Y27" t="s">
        <v>33</v>
      </c>
    </row>
    <row r="28" spans="1:25" x14ac:dyDescent="0.3">
      <c r="A28">
        <v>27</v>
      </c>
      <c r="B28" t="s">
        <v>107</v>
      </c>
      <c r="C28" t="s">
        <v>108</v>
      </c>
      <c r="D28" t="s">
        <v>109</v>
      </c>
      <c r="E28" t="s">
        <v>50</v>
      </c>
      <c r="F28">
        <v>4</v>
      </c>
      <c r="G28">
        <v>150</v>
      </c>
      <c r="H28">
        <v>600</v>
      </c>
      <c r="I28">
        <v>70</v>
      </c>
      <c r="J28">
        <v>280</v>
      </c>
      <c r="K28">
        <v>320</v>
      </c>
      <c r="L28" t="s">
        <v>44</v>
      </c>
      <c r="M28" t="s">
        <v>63</v>
      </c>
      <c r="N28" t="s">
        <v>90</v>
      </c>
      <c r="O28">
        <v>21.36</v>
      </c>
      <c r="P28">
        <v>49.06</v>
      </c>
      <c r="Q28">
        <v>8.16</v>
      </c>
      <c r="R28">
        <v>15.82</v>
      </c>
      <c r="S28">
        <v>3.08</v>
      </c>
      <c r="T28">
        <v>13.25</v>
      </c>
      <c r="U28">
        <v>2.8</v>
      </c>
      <c r="V28">
        <v>1.39</v>
      </c>
      <c r="W28">
        <v>205.08</v>
      </c>
      <c r="X28" t="s">
        <v>66</v>
      </c>
      <c r="Y28" t="s">
        <v>33</v>
      </c>
    </row>
    <row r="29" spans="1:25" x14ac:dyDescent="0.3">
      <c r="A29">
        <v>28</v>
      </c>
      <c r="B29" t="s">
        <v>110</v>
      </c>
      <c r="C29" t="s">
        <v>111</v>
      </c>
      <c r="D29" t="s">
        <v>89</v>
      </c>
      <c r="E29" t="s">
        <v>28</v>
      </c>
      <c r="F29">
        <v>1</v>
      </c>
      <c r="G29">
        <v>180</v>
      </c>
      <c r="H29">
        <v>180</v>
      </c>
      <c r="I29">
        <v>75</v>
      </c>
      <c r="J29">
        <v>75</v>
      </c>
      <c r="K29">
        <v>105</v>
      </c>
      <c r="L29" t="s">
        <v>55</v>
      </c>
      <c r="M29" t="s">
        <v>63</v>
      </c>
      <c r="N29" t="s">
        <v>39</v>
      </c>
      <c r="O29">
        <v>18.48</v>
      </c>
      <c r="P29">
        <v>38.75</v>
      </c>
      <c r="Q29">
        <v>13.36</v>
      </c>
      <c r="R29">
        <v>25.18</v>
      </c>
      <c r="S29">
        <v>4.67</v>
      </c>
      <c r="T29">
        <v>7.63</v>
      </c>
      <c r="U29">
        <v>2.08</v>
      </c>
      <c r="V29">
        <v>1.24</v>
      </c>
      <c r="W29">
        <v>-6.39</v>
      </c>
      <c r="X29" t="s">
        <v>57</v>
      </c>
      <c r="Y29" t="s">
        <v>33</v>
      </c>
    </row>
    <row r="30" spans="1:25" x14ac:dyDescent="0.3">
      <c r="A30">
        <v>29</v>
      </c>
      <c r="B30" t="s">
        <v>101</v>
      </c>
      <c r="C30" t="s">
        <v>112</v>
      </c>
      <c r="D30" t="s">
        <v>43</v>
      </c>
      <c r="E30" t="s">
        <v>43</v>
      </c>
      <c r="F30">
        <v>1</v>
      </c>
      <c r="G30">
        <v>80</v>
      </c>
      <c r="H30">
        <v>80</v>
      </c>
      <c r="I30">
        <v>30</v>
      </c>
      <c r="J30">
        <v>30</v>
      </c>
      <c r="K30">
        <v>50</v>
      </c>
      <c r="L30" t="s">
        <v>37</v>
      </c>
      <c r="M30" t="s">
        <v>30</v>
      </c>
      <c r="N30" t="s">
        <v>51</v>
      </c>
      <c r="O30">
        <v>17.739999999999998</v>
      </c>
      <c r="P30">
        <v>43.15</v>
      </c>
      <c r="Q30">
        <v>16.170000000000002</v>
      </c>
      <c r="R30">
        <v>4.4800000000000004</v>
      </c>
      <c r="S30">
        <v>3.44</v>
      </c>
      <c r="T30">
        <v>11.38</v>
      </c>
      <c r="U30">
        <v>7.86</v>
      </c>
      <c r="V30">
        <v>2.2000000000000002</v>
      </c>
      <c r="W30">
        <v>-56.42</v>
      </c>
      <c r="X30" t="s">
        <v>32</v>
      </c>
      <c r="Y30" t="s">
        <v>40</v>
      </c>
    </row>
    <row r="31" spans="1:25" x14ac:dyDescent="0.3">
      <c r="A31">
        <v>30</v>
      </c>
      <c r="B31" t="s">
        <v>113</v>
      </c>
      <c r="C31" t="s">
        <v>114</v>
      </c>
      <c r="D31" t="s">
        <v>49</v>
      </c>
      <c r="E31" t="s">
        <v>50</v>
      </c>
      <c r="F31">
        <v>4</v>
      </c>
      <c r="G31">
        <v>180</v>
      </c>
      <c r="H31">
        <v>720</v>
      </c>
      <c r="I31">
        <v>90</v>
      </c>
      <c r="J31">
        <v>360</v>
      </c>
      <c r="K31">
        <v>360</v>
      </c>
      <c r="L31" t="s">
        <v>29</v>
      </c>
      <c r="M31" t="s">
        <v>45</v>
      </c>
      <c r="N31" t="s">
        <v>31</v>
      </c>
      <c r="O31">
        <v>37.159999999999997</v>
      </c>
      <c r="P31">
        <v>44.94</v>
      </c>
      <c r="Q31">
        <v>6.98</v>
      </c>
      <c r="R31">
        <v>15.03</v>
      </c>
      <c r="S31">
        <v>0.75</v>
      </c>
      <c r="T31">
        <v>2.85</v>
      </c>
      <c r="U31">
        <v>1.56</v>
      </c>
      <c r="V31">
        <v>2.83</v>
      </c>
      <c r="W31">
        <v>247.9</v>
      </c>
      <c r="X31" t="s">
        <v>66</v>
      </c>
      <c r="Y31" t="s">
        <v>33</v>
      </c>
    </row>
    <row r="32" spans="1:25" x14ac:dyDescent="0.3">
      <c r="A32">
        <v>31</v>
      </c>
      <c r="B32" t="s">
        <v>115</v>
      </c>
      <c r="C32" t="s">
        <v>116</v>
      </c>
      <c r="D32" t="s">
        <v>54</v>
      </c>
      <c r="E32" t="s">
        <v>28</v>
      </c>
      <c r="F32">
        <v>2</v>
      </c>
      <c r="G32">
        <v>120</v>
      </c>
      <c r="H32">
        <v>240</v>
      </c>
      <c r="I32">
        <v>50</v>
      </c>
      <c r="J32">
        <v>100</v>
      </c>
      <c r="K32">
        <v>140</v>
      </c>
      <c r="L32" t="s">
        <v>55</v>
      </c>
      <c r="M32" t="s">
        <v>38</v>
      </c>
      <c r="N32" t="s">
        <v>46</v>
      </c>
      <c r="O32">
        <v>26.35</v>
      </c>
      <c r="P32">
        <v>17.5</v>
      </c>
      <c r="Q32">
        <v>18.02</v>
      </c>
      <c r="R32">
        <v>3.53</v>
      </c>
      <c r="S32">
        <v>1.18</v>
      </c>
      <c r="T32">
        <v>5.37</v>
      </c>
      <c r="U32">
        <v>6.06</v>
      </c>
      <c r="V32">
        <v>2.4</v>
      </c>
      <c r="W32">
        <v>59.59</v>
      </c>
      <c r="X32" t="s">
        <v>32</v>
      </c>
      <c r="Y32" t="s">
        <v>33</v>
      </c>
    </row>
    <row r="33" spans="1:25" x14ac:dyDescent="0.3">
      <c r="A33">
        <v>32</v>
      </c>
      <c r="B33" t="s">
        <v>117</v>
      </c>
      <c r="C33" t="s">
        <v>118</v>
      </c>
      <c r="D33" t="s">
        <v>89</v>
      </c>
      <c r="E33" t="s">
        <v>28</v>
      </c>
      <c r="F33">
        <v>2</v>
      </c>
      <c r="G33">
        <v>180</v>
      </c>
      <c r="H33">
        <v>360</v>
      </c>
      <c r="I33">
        <v>75</v>
      </c>
      <c r="J33">
        <v>150</v>
      </c>
      <c r="K33">
        <v>210</v>
      </c>
      <c r="L33" t="s">
        <v>37</v>
      </c>
      <c r="M33" t="s">
        <v>38</v>
      </c>
      <c r="N33" t="s">
        <v>39</v>
      </c>
      <c r="O33">
        <v>18.899999999999999</v>
      </c>
      <c r="P33">
        <v>45.54</v>
      </c>
      <c r="Q33">
        <v>14.85</v>
      </c>
      <c r="R33">
        <v>6.87</v>
      </c>
      <c r="S33">
        <v>3.96</v>
      </c>
      <c r="T33">
        <v>9.73</v>
      </c>
      <c r="U33">
        <v>4.17</v>
      </c>
      <c r="V33">
        <v>2.11</v>
      </c>
      <c r="W33">
        <v>103.87</v>
      </c>
      <c r="X33" t="s">
        <v>57</v>
      </c>
      <c r="Y33" t="s">
        <v>40</v>
      </c>
    </row>
    <row r="34" spans="1:25" x14ac:dyDescent="0.3">
      <c r="A34">
        <v>33</v>
      </c>
      <c r="B34" t="s">
        <v>119</v>
      </c>
      <c r="C34" t="s">
        <v>120</v>
      </c>
      <c r="D34" t="s">
        <v>43</v>
      </c>
      <c r="E34" t="s">
        <v>43</v>
      </c>
      <c r="F34">
        <v>1</v>
      </c>
      <c r="G34">
        <v>80</v>
      </c>
      <c r="H34">
        <v>80</v>
      </c>
      <c r="I34">
        <v>30</v>
      </c>
      <c r="J34">
        <v>30</v>
      </c>
      <c r="K34">
        <v>50</v>
      </c>
      <c r="L34" t="s">
        <v>44</v>
      </c>
      <c r="M34" t="s">
        <v>38</v>
      </c>
      <c r="N34" t="s">
        <v>46</v>
      </c>
      <c r="O34">
        <v>23.28</v>
      </c>
      <c r="P34">
        <v>18.73</v>
      </c>
      <c r="Q34">
        <v>16.97</v>
      </c>
      <c r="R34">
        <v>12.34</v>
      </c>
      <c r="S34">
        <v>2.93</v>
      </c>
      <c r="T34">
        <v>5.43</v>
      </c>
      <c r="U34">
        <v>3.79</v>
      </c>
      <c r="V34">
        <v>1.0900000000000001</v>
      </c>
      <c r="W34">
        <v>-34.56</v>
      </c>
      <c r="X34" t="s">
        <v>57</v>
      </c>
      <c r="Y34" t="s">
        <v>33</v>
      </c>
    </row>
    <row r="35" spans="1:25" x14ac:dyDescent="0.3">
      <c r="A35">
        <v>34</v>
      </c>
      <c r="B35" t="s">
        <v>121</v>
      </c>
      <c r="C35" t="s">
        <v>122</v>
      </c>
      <c r="D35" t="s">
        <v>89</v>
      </c>
      <c r="E35" t="s">
        <v>28</v>
      </c>
      <c r="F35">
        <v>1</v>
      </c>
      <c r="G35">
        <v>180</v>
      </c>
      <c r="H35">
        <v>180</v>
      </c>
      <c r="I35">
        <v>75</v>
      </c>
      <c r="J35">
        <v>75</v>
      </c>
      <c r="K35">
        <v>105</v>
      </c>
      <c r="L35" t="s">
        <v>86</v>
      </c>
      <c r="M35" t="s">
        <v>30</v>
      </c>
      <c r="N35" t="s">
        <v>90</v>
      </c>
      <c r="O35">
        <v>28.31</v>
      </c>
      <c r="P35">
        <v>21.52</v>
      </c>
      <c r="Q35">
        <v>8.3800000000000008</v>
      </c>
      <c r="R35">
        <v>32.25</v>
      </c>
      <c r="S35">
        <v>0.26</v>
      </c>
      <c r="T35">
        <v>6.71</v>
      </c>
      <c r="U35">
        <v>6.17</v>
      </c>
      <c r="V35">
        <v>0.94</v>
      </c>
      <c r="W35">
        <v>0.46</v>
      </c>
      <c r="X35" t="s">
        <v>66</v>
      </c>
      <c r="Y35" t="s">
        <v>33</v>
      </c>
    </row>
    <row r="36" spans="1:25" x14ac:dyDescent="0.3">
      <c r="A36">
        <v>35</v>
      </c>
      <c r="B36" t="s">
        <v>123</v>
      </c>
      <c r="C36" t="s">
        <v>124</v>
      </c>
      <c r="D36" t="s">
        <v>54</v>
      </c>
      <c r="E36" t="s">
        <v>28</v>
      </c>
      <c r="F36">
        <v>4</v>
      </c>
      <c r="G36">
        <v>120</v>
      </c>
      <c r="H36">
        <v>480</v>
      </c>
      <c r="I36">
        <v>50</v>
      </c>
      <c r="J36">
        <v>200</v>
      </c>
      <c r="K36">
        <v>280</v>
      </c>
      <c r="L36" t="s">
        <v>86</v>
      </c>
      <c r="M36" t="s">
        <v>56</v>
      </c>
      <c r="N36" t="s">
        <v>46</v>
      </c>
      <c r="O36">
        <v>29.31</v>
      </c>
      <c r="P36">
        <v>36.31</v>
      </c>
      <c r="Q36">
        <v>19.07</v>
      </c>
      <c r="R36">
        <v>31.29</v>
      </c>
      <c r="S36">
        <v>1.01</v>
      </c>
      <c r="T36">
        <v>4.8</v>
      </c>
      <c r="U36">
        <v>6.43</v>
      </c>
      <c r="V36">
        <v>2.64</v>
      </c>
      <c r="W36">
        <v>149.13999999999999</v>
      </c>
      <c r="X36" t="s">
        <v>57</v>
      </c>
      <c r="Y36" t="s">
        <v>40</v>
      </c>
    </row>
    <row r="37" spans="1:25" x14ac:dyDescent="0.3">
      <c r="A37">
        <v>36</v>
      </c>
      <c r="B37" t="s">
        <v>121</v>
      </c>
      <c r="C37" t="s">
        <v>125</v>
      </c>
      <c r="D37" t="s">
        <v>89</v>
      </c>
      <c r="E37" t="s">
        <v>28</v>
      </c>
      <c r="F37">
        <v>2</v>
      </c>
      <c r="G37">
        <v>180</v>
      </c>
      <c r="H37">
        <v>360</v>
      </c>
      <c r="I37">
        <v>75</v>
      </c>
      <c r="J37">
        <v>150</v>
      </c>
      <c r="K37">
        <v>210</v>
      </c>
      <c r="L37" t="s">
        <v>86</v>
      </c>
      <c r="M37" t="s">
        <v>56</v>
      </c>
      <c r="N37" t="s">
        <v>90</v>
      </c>
      <c r="O37">
        <v>19.95</v>
      </c>
      <c r="P37">
        <v>55.66</v>
      </c>
      <c r="Q37">
        <v>19.420000000000002</v>
      </c>
      <c r="R37">
        <v>8.5</v>
      </c>
      <c r="S37">
        <v>0.51</v>
      </c>
      <c r="T37">
        <v>4.18</v>
      </c>
      <c r="U37">
        <v>6.84</v>
      </c>
      <c r="V37">
        <v>2.15</v>
      </c>
      <c r="W37">
        <v>92.79</v>
      </c>
      <c r="X37" t="s">
        <v>66</v>
      </c>
      <c r="Y37" t="s">
        <v>33</v>
      </c>
    </row>
    <row r="38" spans="1:25" x14ac:dyDescent="0.3">
      <c r="A38">
        <v>37</v>
      </c>
      <c r="B38" t="s">
        <v>71</v>
      </c>
      <c r="C38" t="s">
        <v>72</v>
      </c>
      <c r="D38" t="s">
        <v>89</v>
      </c>
      <c r="E38" t="s">
        <v>28</v>
      </c>
      <c r="F38">
        <v>3</v>
      </c>
      <c r="G38">
        <v>180</v>
      </c>
      <c r="H38">
        <v>540</v>
      </c>
      <c r="I38">
        <v>75</v>
      </c>
      <c r="J38">
        <v>225</v>
      </c>
      <c r="K38">
        <v>315</v>
      </c>
      <c r="L38" t="s">
        <v>37</v>
      </c>
      <c r="M38" t="s">
        <v>38</v>
      </c>
      <c r="N38" t="s">
        <v>90</v>
      </c>
      <c r="O38">
        <v>16.399999999999999</v>
      </c>
      <c r="P38">
        <v>35.840000000000003</v>
      </c>
      <c r="Q38">
        <v>11.44</v>
      </c>
      <c r="R38">
        <v>17.82</v>
      </c>
      <c r="S38">
        <v>1.63</v>
      </c>
      <c r="T38">
        <v>4.32</v>
      </c>
      <c r="U38">
        <v>5.2</v>
      </c>
      <c r="V38">
        <v>2.59</v>
      </c>
      <c r="W38">
        <v>219.76</v>
      </c>
      <c r="X38" t="s">
        <v>57</v>
      </c>
      <c r="Y38" t="s">
        <v>33</v>
      </c>
    </row>
    <row r="39" spans="1:25" x14ac:dyDescent="0.3">
      <c r="A39">
        <v>38</v>
      </c>
      <c r="B39" t="s">
        <v>126</v>
      </c>
      <c r="C39" t="s">
        <v>127</v>
      </c>
      <c r="D39" t="s">
        <v>62</v>
      </c>
      <c r="E39" t="s">
        <v>28</v>
      </c>
      <c r="F39">
        <v>3</v>
      </c>
      <c r="G39">
        <v>250</v>
      </c>
      <c r="H39">
        <v>750</v>
      </c>
      <c r="I39">
        <v>110</v>
      </c>
      <c r="J39">
        <v>330</v>
      </c>
      <c r="K39">
        <v>420</v>
      </c>
      <c r="L39" t="s">
        <v>44</v>
      </c>
      <c r="M39" t="s">
        <v>38</v>
      </c>
      <c r="N39" t="s">
        <v>81</v>
      </c>
      <c r="O39">
        <v>38.29</v>
      </c>
      <c r="P39">
        <v>41.14</v>
      </c>
      <c r="Q39">
        <v>11.39</v>
      </c>
      <c r="R39">
        <v>16.96</v>
      </c>
      <c r="S39">
        <v>3.52</v>
      </c>
      <c r="T39">
        <v>11.18</v>
      </c>
      <c r="U39">
        <v>2.6</v>
      </c>
      <c r="V39">
        <v>2.38</v>
      </c>
      <c r="W39">
        <v>292.54000000000002</v>
      </c>
      <c r="X39" t="s">
        <v>57</v>
      </c>
      <c r="Y39" t="s">
        <v>33</v>
      </c>
    </row>
    <row r="40" spans="1:25" x14ac:dyDescent="0.3">
      <c r="A40">
        <v>39</v>
      </c>
      <c r="B40" t="s">
        <v>128</v>
      </c>
      <c r="C40" t="s">
        <v>129</v>
      </c>
      <c r="D40" t="s">
        <v>27</v>
      </c>
      <c r="E40" t="s">
        <v>28</v>
      </c>
      <c r="F40">
        <v>4</v>
      </c>
      <c r="G40">
        <v>200</v>
      </c>
      <c r="H40">
        <v>800</v>
      </c>
      <c r="I40">
        <v>90</v>
      </c>
      <c r="J40">
        <v>360</v>
      </c>
      <c r="K40">
        <v>440</v>
      </c>
      <c r="L40" t="s">
        <v>86</v>
      </c>
      <c r="M40" t="s">
        <v>38</v>
      </c>
      <c r="N40" t="s">
        <v>39</v>
      </c>
      <c r="O40">
        <v>12</v>
      </c>
      <c r="P40">
        <v>41.85</v>
      </c>
      <c r="Q40">
        <v>18.66</v>
      </c>
      <c r="R40">
        <v>33.729999999999997</v>
      </c>
      <c r="S40">
        <v>2.48</v>
      </c>
      <c r="T40">
        <v>8.94</v>
      </c>
      <c r="U40">
        <v>6.44</v>
      </c>
      <c r="V40">
        <v>1.86</v>
      </c>
      <c r="W40">
        <v>314.04000000000002</v>
      </c>
      <c r="X40" t="s">
        <v>32</v>
      </c>
      <c r="Y40" t="s">
        <v>33</v>
      </c>
    </row>
    <row r="41" spans="1:25" x14ac:dyDescent="0.3">
      <c r="A41">
        <v>40</v>
      </c>
      <c r="B41" t="s">
        <v>130</v>
      </c>
      <c r="C41" t="s">
        <v>131</v>
      </c>
      <c r="D41" t="s">
        <v>49</v>
      </c>
      <c r="E41" t="s">
        <v>50</v>
      </c>
      <c r="F41">
        <v>1</v>
      </c>
      <c r="G41">
        <v>180</v>
      </c>
      <c r="H41">
        <v>180</v>
      </c>
      <c r="I41">
        <v>90</v>
      </c>
      <c r="J41">
        <v>90</v>
      </c>
      <c r="K41">
        <v>90</v>
      </c>
      <c r="L41" t="s">
        <v>55</v>
      </c>
      <c r="M41" t="s">
        <v>38</v>
      </c>
      <c r="N41" t="s">
        <v>39</v>
      </c>
      <c r="O41">
        <v>18.55</v>
      </c>
      <c r="P41">
        <v>33.69</v>
      </c>
      <c r="Q41">
        <v>14.07</v>
      </c>
      <c r="R41">
        <v>14.72</v>
      </c>
      <c r="S41">
        <v>3.31</v>
      </c>
      <c r="T41">
        <v>2.4700000000000002</v>
      </c>
      <c r="U41">
        <v>7.01</v>
      </c>
      <c r="V41">
        <v>1.4</v>
      </c>
      <c r="W41">
        <v>-5.22</v>
      </c>
      <c r="X41" t="s">
        <v>32</v>
      </c>
      <c r="Y41" t="s">
        <v>40</v>
      </c>
    </row>
    <row r="42" spans="1:25" x14ac:dyDescent="0.3">
      <c r="A42">
        <v>41</v>
      </c>
      <c r="B42" t="s">
        <v>132</v>
      </c>
      <c r="C42" t="s">
        <v>133</v>
      </c>
      <c r="D42" t="s">
        <v>54</v>
      </c>
      <c r="E42" t="s">
        <v>28</v>
      </c>
      <c r="F42">
        <v>3</v>
      </c>
      <c r="G42">
        <v>120</v>
      </c>
      <c r="H42">
        <v>360</v>
      </c>
      <c r="I42">
        <v>50</v>
      </c>
      <c r="J42">
        <v>150</v>
      </c>
      <c r="K42">
        <v>210</v>
      </c>
      <c r="L42" t="s">
        <v>55</v>
      </c>
      <c r="M42" t="s">
        <v>30</v>
      </c>
      <c r="N42" t="s">
        <v>31</v>
      </c>
      <c r="O42">
        <v>23.9</v>
      </c>
      <c r="P42">
        <v>28.06</v>
      </c>
      <c r="Q42">
        <v>14.69</v>
      </c>
      <c r="R42">
        <v>15.12</v>
      </c>
      <c r="S42">
        <v>0.26</v>
      </c>
      <c r="T42">
        <v>6.49</v>
      </c>
      <c r="U42">
        <v>4</v>
      </c>
      <c r="V42">
        <v>1.61</v>
      </c>
      <c r="W42">
        <v>115.87</v>
      </c>
      <c r="X42" t="s">
        <v>32</v>
      </c>
      <c r="Y42" t="s">
        <v>40</v>
      </c>
    </row>
    <row r="43" spans="1:25" x14ac:dyDescent="0.3">
      <c r="A43">
        <v>42</v>
      </c>
      <c r="B43" t="s">
        <v>134</v>
      </c>
      <c r="C43" t="s">
        <v>129</v>
      </c>
      <c r="D43" t="s">
        <v>27</v>
      </c>
      <c r="E43" t="s">
        <v>28</v>
      </c>
      <c r="F43">
        <v>2</v>
      </c>
      <c r="G43">
        <v>200</v>
      </c>
      <c r="H43">
        <v>400</v>
      </c>
      <c r="I43">
        <v>90</v>
      </c>
      <c r="J43">
        <v>180</v>
      </c>
      <c r="K43">
        <v>220</v>
      </c>
      <c r="L43" t="s">
        <v>86</v>
      </c>
      <c r="M43" t="s">
        <v>38</v>
      </c>
      <c r="N43" t="s">
        <v>39</v>
      </c>
      <c r="O43">
        <v>28.49</v>
      </c>
      <c r="P43">
        <v>56.21</v>
      </c>
      <c r="Q43">
        <v>8.36</v>
      </c>
      <c r="R43">
        <v>27.75</v>
      </c>
      <c r="S43">
        <v>4.97</v>
      </c>
      <c r="T43">
        <v>7.38</v>
      </c>
      <c r="U43">
        <v>2.15</v>
      </c>
      <c r="V43">
        <v>1.93</v>
      </c>
      <c r="W43">
        <v>82.76</v>
      </c>
      <c r="X43" t="s">
        <v>66</v>
      </c>
      <c r="Y43" t="s">
        <v>33</v>
      </c>
    </row>
    <row r="44" spans="1:25" x14ac:dyDescent="0.3">
      <c r="A44">
        <v>43</v>
      </c>
      <c r="B44" t="s">
        <v>95</v>
      </c>
      <c r="C44" t="s">
        <v>59</v>
      </c>
      <c r="D44" t="s">
        <v>49</v>
      </c>
      <c r="E44" t="s">
        <v>50</v>
      </c>
      <c r="F44">
        <v>2</v>
      </c>
      <c r="G44">
        <v>180</v>
      </c>
      <c r="H44">
        <v>360</v>
      </c>
      <c r="I44">
        <v>90</v>
      </c>
      <c r="J44">
        <v>180</v>
      </c>
      <c r="K44">
        <v>180</v>
      </c>
      <c r="L44" t="s">
        <v>37</v>
      </c>
      <c r="M44" t="s">
        <v>30</v>
      </c>
      <c r="N44" t="s">
        <v>31</v>
      </c>
      <c r="O44">
        <v>28.48</v>
      </c>
      <c r="P44">
        <v>47.75</v>
      </c>
      <c r="Q44">
        <v>13.66</v>
      </c>
      <c r="R44">
        <v>16.75</v>
      </c>
      <c r="S44">
        <v>1.1000000000000001</v>
      </c>
      <c r="T44">
        <v>11.99</v>
      </c>
      <c r="U44">
        <v>4.6500000000000004</v>
      </c>
      <c r="V44">
        <v>0.96</v>
      </c>
      <c r="W44">
        <v>54.66</v>
      </c>
      <c r="X44" t="s">
        <v>66</v>
      </c>
      <c r="Y44" t="s">
        <v>33</v>
      </c>
    </row>
    <row r="45" spans="1:25" x14ac:dyDescent="0.3">
      <c r="A45">
        <v>44</v>
      </c>
      <c r="B45" t="s">
        <v>135</v>
      </c>
      <c r="C45" t="s">
        <v>136</v>
      </c>
      <c r="D45" t="s">
        <v>89</v>
      </c>
      <c r="E45" t="s">
        <v>28</v>
      </c>
      <c r="F45">
        <v>2</v>
      </c>
      <c r="G45">
        <v>180</v>
      </c>
      <c r="H45">
        <v>360</v>
      </c>
      <c r="I45">
        <v>75</v>
      </c>
      <c r="J45">
        <v>150</v>
      </c>
      <c r="K45">
        <v>210</v>
      </c>
      <c r="L45" t="s">
        <v>55</v>
      </c>
      <c r="M45" t="s">
        <v>63</v>
      </c>
      <c r="N45" t="s">
        <v>90</v>
      </c>
      <c r="O45">
        <v>12.7</v>
      </c>
      <c r="P45">
        <v>27.75</v>
      </c>
      <c r="Q45">
        <v>15.61</v>
      </c>
      <c r="R45">
        <v>10.26</v>
      </c>
      <c r="S45">
        <v>2.42</v>
      </c>
      <c r="T45">
        <v>7.39</v>
      </c>
      <c r="U45">
        <v>7.8</v>
      </c>
      <c r="V45">
        <v>2.7</v>
      </c>
      <c r="W45">
        <v>123.37</v>
      </c>
      <c r="X45" t="s">
        <v>66</v>
      </c>
      <c r="Y45" t="s">
        <v>40</v>
      </c>
    </row>
    <row r="46" spans="1:25" x14ac:dyDescent="0.3">
      <c r="A46">
        <v>45</v>
      </c>
      <c r="B46" t="s">
        <v>137</v>
      </c>
      <c r="C46" t="s">
        <v>80</v>
      </c>
      <c r="D46" t="s">
        <v>36</v>
      </c>
      <c r="E46" t="s">
        <v>28</v>
      </c>
      <c r="F46">
        <v>2</v>
      </c>
      <c r="G46">
        <v>220</v>
      </c>
      <c r="H46">
        <v>440</v>
      </c>
      <c r="I46">
        <v>100</v>
      </c>
      <c r="J46">
        <v>200</v>
      </c>
      <c r="K46">
        <v>240</v>
      </c>
      <c r="L46" t="s">
        <v>37</v>
      </c>
      <c r="M46" t="s">
        <v>56</v>
      </c>
      <c r="N46" t="s">
        <v>46</v>
      </c>
      <c r="O46">
        <v>39.93</v>
      </c>
      <c r="P46">
        <v>16.48</v>
      </c>
      <c r="Q46">
        <v>15.09</v>
      </c>
      <c r="R46">
        <v>4.2300000000000004</v>
      </c>
      <c r="S46">
        <v>1.86</v>
      </c>
      <c r="T46">
        <v>9.32</v>
      </c>
      <c r="U46">
        <v>7.81</v>
      </c>
      <c r="V46">
        <v>1.35</v>
      </c>
      <c r="W46">
        <v>143.93</v>
      </c>
      <c r="X46" t="s">
        <v>32</v>
      </c>
      <c r="Y46" t="s">
        <v>33</v>
      </c>
    </row>
    <row r="47" spans="1:25" x14ac:dyDescent="0.3">
      <c r="A47">
        <v>46</v>
      </c>
      <c r="B47" t="s">
        <v>138</v>
      </c>
      <c r="C47" t="s">
        <v>139</v>
      </c>
      <c r="D47" t="s">
        <v>62</v>
      </c>
      <c r="E47" t="s">
        <v>28</v>
      </c>
      <c r="F47">
        <v>1</v>
      </c>
      <c r="G47">
        <v>250</v>
      </c>
      <c r="H47">
        <v>250</v>
      </c>
      <c r="I47">
        <v>110</v>
      </c>
      <c r="J47">
        <v>110</v>
      </c>
      <c r="K47">
        <v>140</v>
      </c>
      <c r="L47" t="s">
        <v>29</v>
      </c>
      <c r="M47" t="s">
        <v>63</v>
      </c>
      <c r="N47" t="s">
        <v>31</v>
      </c>
      <c r="O47">
        <v>38.08</v>
      </c>
      <c r="P47">
        <v>36.04</v>
      </c>
      <c r="Q47">
        <v>10.84</v>
      </c>
      <c r="R47">
        <v>11.92</v>
      </c>
      <c r="S47">
        <v>0.45</v>
      </c>
      <c r="T47">
        <v>13.8</v>
      </c>
      <c r="U47">
        <v>6.06</v>
      </c>
      <c r="V47">
        <v>1.3</v>
      </c>
      <c r="W47">
        <v>21.51</v>
      </c>
      <c r="X47" t="s">
        <v>57</v>
      </c>
      <c r="Y47" t="s">
        <v>33</v>
      </c>
    </row>
    <row r="48" spans="1:25" x14ac:dyDescent="0.3">
      <c r="A48">
        <v>47</v>
      </c>
      <c r="B48" t="s">
        <v>34</v>
      </c>
      <c r="C48" t="s">
        <v>140</v>
      </c>
      <c r="D48" t="s">
        <v>54</v>
      </c>
      <c r="E48" t="s">
        <v>28</v>
      </c>
      <c r="F48">
        <v>1</v>
      </c>
      <c r="G48">
        <v>120</v>
      </c>
      <c r="H48">
        <v>120</v>
      </c>
      <c r="I48">
        <v>50</v>
      </c>
      <c r="J48">
        <v>50</v>
      </c>
      <c r="K48">
        <v>70</v>
      </c>
      <c r="L48" t="s">
        <v>55</v>
      </c>
      <c r="M48" t="s">
        <v>56</v>
      </c>
      <c r="N48" t="s">
        <v>81</v>
      </c>
      <c r="O48">
        <v>22.58</v>
      </c>
      <c r="P48">
        <v>46.72</v>
      </c>
      <c r="Q48">
        <v>14.73</v>
      </c>
      <c r="R48">
        <v>7.17</v>
      </c>
      <c r="S48">
        <v>2.62</v>
      </c>
      <c r="T48">
        <v>11.62</v>
      </c>
      <c r="U48">
        <v>4.25</v>
      </c>
      <c r="V48">
        <v>1.61</v>
      </c>
      <c r="W48">
        <v>-41.3</v>
      </c>
      <c r="X48" t="s">
        <v>57</v>
      </c>
      <c r="Y48" t="s">
        <v>33</v>
      </c>
    </row>
    <row r="49" spans="1:25" x14ac:dyDescent="0.3">
      <c r="A49">
        <v>48</v>
      </c>
      <c r="B49" t="s">
        <v>141</v>
      </c>
      <c r="C49" t="s">
        <v>142</v>
      </c>
      <c r="D49" t="s">
        <v>89</v>
      </c>
      <c r="E49" t="s">
        <v>28</v>
      </c>
      <c r="F49">
        <v>4</v>
      </c>
      <c r="G49">
        <v>180</v>
      </c>
      <c r="H49">
        <v>720</v>
      </c>
      <c r="I49">
        <v>75</v>
      </c>
      <c r="J49">
        <v>300</v>
      </c>
      <c r="K49">
        <v>420</v>
      </c>
      <c r="L49" t="s">
        <v>86</v>
      </c>
      <c r="M49" t="s">
        <v>56</v>
      </c>
      <c r="N49" t="s">
        <v>51</v>
      </c>
      <c r="O49">
        <v>22.1</v>
      </c>
      <c r="P49">
        <v>34.75</v>
      </c>
      <c r="Q49">
        <v>11.07</v>
      </c>
      <c r="R49">
        <v>27.05</v>
      </c>
      <c r="S49">
        <v>2.92</v>
      </c>
      <c r="T49">
        <v>14.1</v>
      </c>
      <c r="U49">
        <v>3.23</v>
      </c>
      <c r="V49">
        <v>0.09</v>
      </c>
      <c r="W49">
        <v>304.69</v>
      </c>
      <c r="X49" t="s">
        <v>66</v>
      </c>
      <c r="Y49" t="s">
        <v>33</v>
      </c>
    </row>
    <row r="50" spans="1:25" x14ac:dyDescent="0.3">
      <c r="A50">
        <v>49</v>
      </c>
      <c r="B50" t="s">
        <v>143</v>
      </c>
      <c r="C50" t="s">
        <v>144</v>
      </c>
      <c r="D50" t="s">
        <v>109</v>
      </c>
      <c r="E50" t="s">
        <v>50</v>
      </c>
      <c r="F50">
        <v>4</v>
      </c>
      <c r="G50">
        <v>150</v>
      </c>
      <c r="H50">
        <v>600</v>
      </c>
      <c r="I50">
        <v>70</v>
      </c>
      <c r="J50">
        <v>280</v>
      </c>
      <c r="K50">
        <v>320</v>
      </c>
      <c r="L50" t="s">
        <v>86</v>
      </c>
      <c r="M50" t="s">
        <v>30</v>
      </c>
      <c r="N50" t="s">
        <v>81</v>
      </c>
      <c r="O50">
        <v>29.58</v>
      </c>
      <c r="P50">
        <v>28.12</v>
      </c>
      <c r="Q50">
        <v>16.8</v>
      </c>
      <c r="R50">
        <v>27.97</v>
      </c>
      <c r="S50">
        <v>0.28000000000000003</v>
      </c>
      <c r="T50">
        <v>12.33</v>
      </c>
      <c r="U50">
        <v>6.9</v>
      </c>
      <c r="V50">
        <v>2.82</v>
      </c>
      <c r="W50">
        <v>195.2</v>
      </c>
      <c r="X50" t="s">
        <v>66</v>
      </c>
      <c r="Y50" t="s">
        <v>33</v>
      </c>
    </row>
    <row r="51" spans="1:25" x14ac:dyDescent="0.3">
      <c r="A51">
        <v>50</v>
      </c>
      <c r="B51" t="s">
        <v>145</v>
      </c>
      <c r="C51" t="s">
        <v>146</v>
      </c>
      <c r="D51" t="s">
        <v>54</v>
      </c>
      <c r="E51" t="s">
        <v>28</v>
      </c>
      <c r="F51">
        <v>2</v>
      </c>
      <c r="G51">
        <v>120</v>
      </c>
      <c r="H51">
        <v>240</v>
      </c>
      <c r="I51">
        <v>50</v>
      </c>
      <c r="J51">
        <v>100</v>
      </c>
      <c r="K51">
        <v>140</v>
      </c>
      <c r="L51" t="s">
        <v>37</v>
      </c>
      <c r="M51" t="s">
        <v>45</v>
      </c>
      <c r="N51" t="s">
        <v>46</v>
      </c>
      <c r="O51">
        <v>11.2</v>
      </c>
      <c r="P51">
        <v>35.65</v>
      </c>
      <c r="Q51">
        <v>18.87</v>
      </c>
      <c r="R51">
        <v>1.53</v>
      </c>
      <c r="S51">
        <v>4.4000000000000004</v>
      </c>
      <c r="T51">
        <v>6.32</v>
      </c>
      <c r="U51">
        <v>6.04</v>
      </c>
      <c r="V51">
        <v>0.99</v>
      </c>
      <c r="W51">
        <v>55</v>
      </c>
      <c r="X51" t="s">
        <v>66</v>
      </c>
      <c r="Y51" t="s">
        <v>40</v>
      </c>
    </row>
    <row r="52" spans="1:25" x14ac:dyDescent="0.3">
      <c r="A52">
        <v>51</v>
      </c>
      <c r="B52" t="s">
        <v>147</v>
      </c>
      <c r="C52" t="s">
        <v>148</v>
      </c>
      <c r="D52" t="s">
        <v>54</v>
      </c>
      <c r="E52" t="s">
        <v>28</v>
      </c>
      <c r="F52">
        <v>2</v>
      </c>
      <c r="G52">
        <v>120</v>
      </c>
      <c r="H52">
        <v>240</v>
      </c>
      <c r="I52">
        <v>50</v>
      </c>
      <c r="J52">
        <v>100</v>
      </c>
      <c r="K52">
        <v>140</v>
      </c>
      <c r="L52" t="s">
        <v>37</v>
      </c>
      <c r="M52" t="s">
        <v>63</v>
      </c>
      <c r="N52" t="s">
        <v>51</v>
      </c>
      <c r="O52">
        <v>20.21</v>
      </c>
      <c r="P52">
        <v>42.82</v>
      </c>
      <c r="Q52">
        <v>10.36</v>
      </c>
      <c r="R52">
        <v>3.65</v>
      </c>
      <c r="S52">
        <v>1.6</v>
      </c>
      <c r="T52">
        <v>6.73</v>
      </c>
      <c r="U52">
        <v>2.27</v>
      </c>
      <c r="V52">
        <v>0.21</v>
      </c>
      <c r="W52">
        <v>52.15</v>
      </c>
      <c r="X52" t="s">
        <v>57</v>
      </c>
      <c r="Y52" t="s">
        <v>40</v>
      </c>
    </row>
    <row r="53" spans="1:25" x14ac:dyDescent="0.3">
      <c r="A53">
        <v>52</v>
      </c>
      <c r="B53" t="s">
        <v>149</v>
      </c>
      <c r="C53" t="s">
        <v>150</v>
      </c>
      <c r="D53" t="s">
        <v>109</v>
      </c>
      <c r="E53" t="s">
        <v>50</v>
      </c>
      <c r="F53">
        <v>1</v>
      </c>
      <c r="G53">
        <v>150</v>
      </c>
      <c r="H53">
        <v>150</v>
      </c>
      <c r="I53">
        <v>70</v>
      </c>
      <c r="J53">
        <v>70</v>
      </c>
      <c r="K53">
        <v>80</v>
      </c>
      <c r="L53" t="s">
        <v>55</v>
      </c>
      <c r="M53" t="s">
        <v>56</v>
      </c>
      <c r="N53" t="s">
        <v>90</v>
      </c>
      <c r="O53">
        <v>22.76</v>
      </c>
      <c r="P53">
        <v>51.86</v>
      </c>
      <c r="Q53">
        <v>7.56</v>
      </c>
      <c r="R53">
        <v>30.86</v>
      </c>
      <c r="S53">
        <v>2.21</v>
      </c>
      <c r="T53">
        <v>11.53</v>
      </c>
      <c r="U53">
        <v>7.67</v>
      </c>
      <c r="V53">
        <v>1.26</v>
      </c>
      <c r="W53">
        <v>-55.71</v>
      </c>
      <c r="X53" t="s">
        <v>66</v>
      </c>
      <c r="Y53" t="s">
        <v>33</v>
      </c>
    </row>
    <row r="54" spans="1:25" x14ac:dyDescent="0.3">
      <c r="A54">
        <v>53</v>
      </c>
      <c r="B54" t="s">
        <v>134</v>
      </c>
      <c r="C54" t="s">
        <v>151</v>
      </c>
      <c r="D54" t="s">
        <v>62</v>
      </c>
      <c r="E54" t="s">
        <v>28</v>
      </c>
      <c r="F54">
        <v>3</v>
      </c>
      <c r="G54">
        <v>250</v>
      </c>
      <c r="H54">
        <v>750</v>
      </c>
      <c r="I54">
        <v>110</v>
      </c>
      <c r="J54">
        <v>330</v>
      </c>
      <c r="K54">
        <v>420</v>
      </c>
      <c r="L54" t="s">
        <v>29</v>
      </c>
      <c r="M54" t="s">
        <v>45</v>
      </c>
      <c r="N54" t="s">
        <v>31</v>
      </c>
      <c r="O54">
        <v>23.69</v>
      </c>
      <c r="P54">
        <v>53.41</v>
      </c>
      <c r="Q54">
        <v>10.74</v>
      </c>
      <c r="R54">
        <v>18.48</v>
      </c>
      <c r="S54">
        <v>4.8099999999999996</v>
      </c>
      <c r="T54">
        <v>10.23</v>
      </c>
      <c r="U54">
        <v>5.66</v>
      </c>
      <c r="V54">
        <v>2.81</v>
      </c>
      <c r="W54">
        <v>290.17</v>
      </c>
      <c r="X54" t="s">
        <v>66</v>
      </c>
      <c r="Y54" t="s">
        <v>40</v>
      </c>
    </row>
    <row r="55" spans="1:25" x14ac:dyDescent="0.3">
      <c r="A55">
        <v>54</v>
      </c>
      <c r="B55" t="s">
        <v>152</v>
      </c>
      <c r="C55" t="s">
        <v>153</v>
      </c>
      <c r="D55" t="s">
        <v>89</v>
      </c>
      <c r="E55" t="s">
        <v>28</v>
      </c>
      <c r="F55">
        <v>1</v>
      </c>
      <c r="G55">
        <v>180</v>
      </c>
      <c r="H55">
        <v>180</v>
      </c>
      <c r="I55">
        <v>75</v>
      </c>
      <c r="J55">
        <v>75</v>
      </c>
      <c r="K55">
        <v>105</v>
      </c>
      <c r="L55" t="s">
        <v>55</v>
      </c>
      <c r="M55" t="s">
        <v>30</v>
      </c>
      <c r="N55" t="s">
        <v>81</v>
      </c>
      <c r="O55">
        <v>31.19</v>
      </c>
      <c r="P55">
        <v>24.11</v>
      </c>
      <c r="Q55">
        <v>7.25</v>
      </c>
      <c r="R55">
        <v>18.72</v>
      </c>
      <c r="S55">
        <v>4.5</v>
      </c>
      <c r="T55">
        <v>2.02</v>
      </c>
      <c r="U55">
        <v>3.08</v>
      </c>
      <c r="V55">
        <v>1.91</v>
      </c>
      <c r="W55">
        <v>12.22</v>
      </c>
      <c r="X55" t="s">
        <v>66</v>
      </c>
      <c r="Y55" t="s">
        <v>33</v>
      </c>
    </row>
    <row r="56" spans="1:25" x14ac:dyDescent="0.3">
      <c r="A56">
        <v>55</v>
      </c>
      <c r="B56" t="s">
        <v>154</v>
      </c>
      <c r="C56" t="s">
        <v>35</v>
      </c>
      <c r="D56" t="s">
        <v>62</v>
      </c>
      <c r="E56" t="s">
        <v>28</v>
      </c>
      <c r="F56">
        <v>2</v>
      </c>
      <c r="G56">
        <v>250</v>
      </c>
      <c r="H56">
        <v>500</v>
      </c>
      <c r="I56">
        <v>110</v>
      </c>
      <c r="J56">
        <v>220</v>
      </c>
      <c r="K56">
        <v>280</v>
      </c>
      <c r="L56" t="s">
        <v>37</v>
      </c>
      <c r="M56" t="s">
        <v>63</v>
      </c>
      <c r="N56" t="s">
        <v>31</v>
      </c>
      <c r="O56">
        <v>25.96</v>
      </c>
      <c r="P56">
        <v>40.39</v>
      </c>
      <c r="Q56">
        <v>10.82</v>
      </c>
      <c r="R56">
        <v>28.01</v>
      </c>
      <c r="S56">
        <v>1.19</v>
      </c>
      <c r="T56">
        <v>5.2</v>
      </c>
      <c r="U56">
        <v>1.58</v>
      </c>
      <c r="V56">
        <v>2.59</v>
      </c>
      <c r="W56">
        <v>164.26</v>
      </c>
      <c r="X56" t="s">
        <v>57</v>
      </c>
      <c r="Y56" t="s">
        <v>33</v>
      </c>
    </row>
    <row r="57" spans="1:25" x14ac:dyDescent="0.3">
      <c r="A57">
        <v>56</v>
      </c>
      <c r="B57" t="s">
        <v>155</v>
      </c>
      <c r="C57" t="s">
        <v>156</v>
      </c>
      <c r="D57" t="s">
        <v>27</v>
      </c>
      <c r="E57" t="s">
        <v>28</v>
      </c>
      <c r="F57">
        <v>4</v>
      </c>
      <c r="G57">
        <v>200</v>
      </c>
      <c r="H57">
        <v>800</v>
      </c>
      <c r="I57">
        <v>90</v>
      </c>
      <c r="J57">
        <v>360</v>
      </c>
      <c r="K57">
        <v>440</v>
      </c>
      <c r="L57" t="s">
        <v>55</v>
      </c>
      <c r="M57" t="s">
        <v>30</v>
      </c>
      <c r="N57" t="s">
        <v>31</v>
      </c>
      <c r="O57">
        <v>27.74</v>
      </c>
      <c r="P57">
        <v>22.42</v>
      </c>
      <c r="Q57">
        <v>13.76</v>
      </c>
      <c r="R57">
        <v>23.44</v>
      </c>
      <c r="S57">
        <v>1.78</v>
      </c>
      <c r="T57">
        <v>5.44</v>
      </c>
      <c r="U57">
        <v>1.36</v>
      </c>
      <c r="V57">
        <v>1.1200000000000001</v>
      </c>
      <c r="W57">
        <v>342.94</v>
      </c>
      <c r="X57" t="s">
        <v>66</v>
      </c>
      <c r="Y57" t="s">
        <v>33</v>
      </c>
    </row>
    <row r="58" spans="1:25" x14ac:dyDescent="0.3">
      <c r="A58">
        <v>57</v>
      </c>
      <c r="B58" t="s">
        <v>157</v>
      </c>
      <c r="C58" t="s">
        <v>158</v>
      </c>
      <c r="D58" t="s">
        <v>89</v>
      </c>
      <c r="E58" t="s">
        <v>28</v>
      </c>
      <c r="F58">
        <v>2</v>
      </c>
      <c r="G58">
        <v>180</v>
      </c>
      <c r="H58">
        <v>360</v>
      </c>
      <c r="I58">
        <v>75</v>
      </c>
      <c r="J58">
        <v>150</v>
      </c>
      <c r="K58">
        <v>210</v>
      </c>
      <c r="L58" t="s">
        <v>37</v>
      </c>
      <c r="M58" t="s">
        <v>45</v>
      </c>
      <c r="N58" t="s">
        <v>31</v>
      </c>
      <c r="O58">
        <v>10.84</v>
      </c>
      <c r="P58">
        <v>17.5</v>
      </c>
      <c r="Q58">
        <v>19.46</v>
      </c>
      <c r="R58">
        <v>12.41</v>
      </c>
      <c r="S58">
        <v>4.59</v>
      </c>
      <c r="T58">
        <v>4.7300000000000004</v>
      </c>
      <c r="U58">
        <v>3.6</v>
      </c>
      <c r="V58">
        <v>0.25</v>
      </c>
      <c r="W58">
        <v>136.62</v>
      </c>
      <c r="X58" t="s">
        <v>32</v>
      </c>
      <c r="Y58" t="s">
        <v>33</v>
      </c>
    </row>
    <row r="59" spans="1:25" x14ac:dyDescent="0.3">
      <c r="A59">
        <v>58</v>
      </c>
      <c r="B59" t="s">
        <v>159</v>
      </c>
      <c r="C59" t="s">
        <v>160</v>
      </c>
      <c r="D59" t="s">
        <v>43</v>
      </c>
      <c r="E59" t="s">
        <v>43</v>
      </c>
      <c r="F59">
        <v>1</v>
      </c>
      <c r="G59">
        <v>80</v>
      </c>
      <c r="H59">
        <v>80</v>
      </c>
      <c r="I59">
        <v>30</v>
      </c>
      <c r="J59">
        <v>30</v>
      </c>
      <c r="K59">
        <v>50</v>
      </c>
      <c r="L59" t="s">
        <v>86</v>
      </c>
      <c r="M59" t="s">
        <v>30</v>
      </c>
      <c r="N59" t="s">
        <v>39</v>
      </c>
      <c r="O59">
        <v>10.17</v>
      </c>
      <c r="P59">
        <v>42.46</v>
      </c>
      <c r="Q59">
        <v>15.11</v>
      </c>
      <c r="R59">
        <v>1.5</v>
      </c>
      <c r="S59">
        <v>2.82</v>
      </c>
      <c r="T59">
        <v>8.56</v>
      </c>
      <c r="U59">
        <v>1.46</v>
      </c>
      <c r="V59">
        <v>0.4</v>
      </c>
      <c r="W59">
        <v>-32.479999999999997</v>
      </c>
      <c r="X59" t="s">
        <v>57</v>
      </c>
      <c r="Y59" t="s">
        <v>40</v>
      </c>
    </row>
    <row r="60" spans="1:25" x14ac:dyDescent="0.3">
      <c r="A60">
        <v>59</v>
      </c>
      <c r="B60" t="s">
        <v>161</v>
      </c>
      <c r="C60" t="s">
        <v>162</v>
      </c>
      <c r="D60" t="s">
        <v>49</v>
      </c>
      <c r="E60" t="s">
        <v>50</v>
      </c>
      <c r="F60">
        <v>1</v>
      </c>
      <c r="G60">
        <v>180</v>
      </c>
      <c r="H60">
        <v>180</v>
      </c>
      <c r="I60">
        <v>90</v>
      </c>
      <c r="J60">
        <v>90</v>
      </c>
      <c r="K60">
        <v>90</v>
      </c>
      <c r="L60" t="s">
        <v>37</v>
      </c>
      <c r="M60" t="s">
        <v>38</v>
      </c>
      <c r="N60" t="s">
        <v>81</v>
      </c>
      <c r="O60">
        <v>15.02</v>
      </c>
      <c r="P60">
        <v>53.65</v>
      </c>
      <c r="Q60">
        <v>11.69</v>
      </c>
      <c r="R60">
        <v>20.78</v>
      </c>
      <c r="S60">
        <v>4.9000000000000004</v>
      </c>
      <c r="T60">
        <v>13.53</v>
      </c>
      <c r="U60">
        <v>5.73</v>
      </c>
      <c r="V60">
        <v>1.18</v>
      </c>
      <c r="W60">
        <v>-36.479999999999997</v>
      </c>
      <c r="X60" t="s">
        <v>57</v>
      </c>
      <c r="Y60" t="s">
        <v>40</v>
      </c>
    </row>
    <row r="61" spans="1:25" x14ac:dyDescent="0.3">
      <c r="A61">
        <v>60</v>
      </c>
      <c r="B61" t="s">
        <v>123</v>
      </c>
      <c r="C61" t="s">
        <v>163</v>
      </c>
      <c r="D61" t="s">
        <v>36</v>
      </c>
      <c r="E61" t="s">
        <v>28</v>
      </c>
      <c r="F61">
        <v>4</v>
      </c>
      <c r="G61">
        <v>220</v>
      </c>
      <c r="H61">
        <v>880</v>
      </c>
      <c r="I61">
        <v>100</v>
      </c>
      <c r="J61">
        <v>400</v>
      </c>
      <c r="K61">
        <v>480</v>
      </c>
      <c r="L61" t="s">
        <v>86</v>
      </c>
      <c r="M61" t="s">
        <v>38</v>
      </c>
      <c r="N61" t="s">
        <v>51</v>
      </c>
      <c r="O61">
        <v>17.46</v>
      </c>
      <c r="P61">
        <v>44.78</v>
      </c>
      <c r="Q61">
        <v>6.39</v>
      </c>
      <c r="R61">
        <v>16.68</v>
      </c>
      <c r="S61">
        <v>4.01</v>
      </c>
      <c r="T61">
        <v>4.55</v>
      </c>
      <c r="U61">
        <v>3.47</v>
      </c>
      <c r="V61">
        <v>0.24</v>
      </c>
      <c r="W61">
        <v>382.42</v>
      </c>
      <c r="X61" t="s">
        <v>66</v>
      </c>
      <c r="Y61" t="s">
        <v>33</v>
      </c>
    </row>
    <row r="62" spans="1:25" x14ac:dyDescent="0.3">
      <c r="A62">
        <v>61</v>
      </c>
      <c r="B62" t="s">
        <v>77</v>
      </c>
      <c r="C62" t="s">
        <v>164</v>
      </c>
      <c r="D62" t="s">
        <v>49</v>
      </c>
      <c r="E62" t="s">
        <v>50</v>
      </c>
      <c r="F62">
        <v>3</v>
      </c>
      <c r="G62">
        <v>180</v>
      </c>
      <c r="H62">
        <v>540</v>
      </c>
      <c r="I62">
        <v>90</v>
      </c>
      <c r="J62">
        <v>270</v>
      </c>
      <c r="K62">
        <v>270</v>
      </c>
      <c r="L62" t="s">
        <v>44</v>
      </c>
      <c r="M62" t="s">
        <v>30</v>
      </c>
      <c r="N62" t="s">
        <v>31</v>
      </c>
      <c r="O62">
        <v>30.59</v>
      </c>
      <c r="P62">
        <v>46.25</v>
      </c>
      <c r="Q62">
        <v>10.29</v>
      </c>
      <c r="R62">
        <v>12.57</v>
      </c>
      <c r="S62">
        <v>3.72</v>
      </c>
      <c r="T62">
        <v>4.38</v>
      </c>
      <c r="U62">
        <v>4.5999999999999996</v>
      </c>
      <c r="V62">
        <v>0.78</v>
      </c>
      <c r="W62">
        <v>156.82</v>
      </c>
      <c r="X62" t="s">
        <v>32</v>
      </c>
      <c r="Y62" t="s">
        <v>33</v>
      </c>
    </row>
    <row r="63" spans="1:25" x14ac:dyDescent="0.3">
      <c r="A63">
        <v>62</v>
      </c>
      <c r="B63" t="s">
        <v>145</v>
      </c>
      <c r="C63" t="s">
        <v>165</v>
      </c>
      <c r="D63" t="s">
        <v>89</v>
      </c>
      <c r="E63" t="s">
        <v>28</v>
      </c>
      <c r="F63">
        <v>4</v>
      </c>
      <c r="G63">
        <v>180</v>
      </c>
      <c r="H63">
        <v>720</v>
      </c>
      <c r="I63">
        <v>75</v>
      </c>
      <c r="J63">
        <v>300</v>
      </c>
      <c r="K63">
        <v>420</v>
      </c>
      <c r="L63" t="s">
        <v>86</v>
      </c>
      <c r="M63" t="s">
        <v>30</v>
      </c>
      <c r="N63" t="s">
        <v>46</v>
      </c>
      <c r="O63">
        <v>33.81</v>
      </c>
      <c r="P63">
        <v>18.010000000000002</v>
      </c>
      <c r="Q63">
        <v>16.190000000000001</v>
      </c>
      <c r="R63">
        <v>28.94</v>
      </c>
      <c r="S63">
        <v>1.1499999999999999</v>
      </c>
      <c r="T63">
        <v>13.64</v>
      </c>
      <c r="U63">
        <v>7.25</v>
      </c>
      <c r="V63">
        <v>0.4</v>
      </c>
      <c r="W63">
        <v>300.61</v>
      </c>
      <c r="X63" t="s">
        <v>32</v>
      </c>
      <c r="Y63" t="s">
        <v>40</v>
      </c>
    </row>
    <row r="64" spans="1:25" x14ac:dyDescent="0.3">
      <c r="A64">
        <v>63</v>
      </c>
      <c r="B64" t="s">
        <v>166</v>
      </c>
      <c r="C64" t="s">
        <v>167</v>
      </c>
      <c r="D64" t="s">
        <v>49</v>
      </c>
      <c r="E64" t="s">
        <v>50</v>
      </c>
      <c r="F64">
        <v>3</v>
      </c>
      <c r="G64">
        <v>180</v>
      </c>
      <c r="H64">
        <v>540</v>
      </c>
      <c r="I64">
        <v>90</v>
      </c>
      <c r="J64">
        <v>270</v>
      </c>
      <c r="K64">
        <v>270</v>
      </c>
      <c r="L64" t="s">
        <v>44</v>
      </c>
      <c r="M64" t="s">
        <v>38</v>
      </c>
      <c r="N64" t="s">
        <v>81</v>
      </c>
      <c r="O64">
        <v>26.33</v>
      </c>
      <c r="P64">
        <v>57.86</v>
      </c>
      <c r="Q64">
        <v>14.3</v>
      </c>
      <c r="R64">
        <v>18.739999999999998</v>
      </c>
      <c r="S64">
        <v>1.99</v>
      </c>
      <c r="T64">
        <v>5.84</v>
      </c>
      <c r="U64">
        <v>3</v>
      </c>
      <c r="V64">
        <v>2.67</v>
      </c>
      <c r="W64">
        <v>139.27000000000001</v>
      </c>
      <c r="X64" t="s">
        <v>66</v>
      </c>
      <c r="Y64" t="s">
        <v>40</v>
      </c>
    </row>
    <row r="65" spans="1:25" x14ac:dyDescent="0.3">
      <c r="A65">
        <v>64</v>
      </c>
      <c r="B65" t="s">
        <v>168</v>
      </c>
      <c r="C65" t="s">
        <v>169</v>
      </c>
      <c r="D65" t="s">
        <v>27</v>
      </c>
      <c r="E65" t="s">
        <v>28</v>
      </c>
      <c r="F65">
        <v>1</v>
      </c>
      <c r="G65">
        <v>200</v>
      </c>
      <c r="H65">
        <v>200</v>
      </c>
      <c r="I65">
        <v>90</v>
      </c>
      <c r="J65">
        <v>90</v>
      </c>
      <c r="K65">
        <v>110</v>
      </c>
      <c r="L65" t="s">
        <v>55</v>
      </c>
      <c r="M65" t="s">
        <v>38</v>
      </c>
      <c r="N65" t="s">
        <v>81</v>
      </c>
      <c r="O65">
        <v>33.81</v>
      </c>
      <c r="P65">
        <v>52.8</v>
      </c>
      <c r="Q65">
        <v>18.920000000000002</v>
      </c>
      <c r="R65">
        <v>13.19</v>
      </c>
      <c r="S65">
        <v>1.78</v>
      </c>
      <c r="T65">
        <v>6.81</v>
      </c>
      <c r="U65">
        <v>6.79</v>
      </c>
      <c r="V65">
        <v>0.06</v>
      </c>
      <c r="W65">
        <v>-24.16</v>
      </c>
      <c r="X65" t="s">
        <v>57</v>
      </c>
      <c r="Y65" t="s">
        <v>40</v>
      </c>
    </row>
    <row r="66" spans="1:25" x14ac:dyDescent="0.3">
      <c r="A66">
        <v>65</v>
      </c>
      <c r="B66" t="s">
        <v>170</v>
      </c>
      <c r="C66" t="s">
        <v>171</v>
      </c>
      <c r="D66" t="s">
        <v>43</v>
      </c>
      <c r="E66" t="s">
        <v>43</v>
      </c>
      <c r="F66">
        <v>4</v>
      </c>
      <c r="G66">
        <v>80</v>
      </c>
      <c r="H66">
        <v>320</v>
      </c>
      <c r="I66">
        <v>30</v>
      </c>
      <c r="J66">
        <v>120</v>
      </c>
      <c r="K66">
        <v>200</v>
      </c>
      <c r="L66" t="s">
        <v>37</v>
      </c>
      <c r="M66" t="s">
        <v>63</v>
      </c>
      <c r="N66" t="s">
        <v>81</v>
      </c>
      <c r="O66">
        <v>30.24</v>
      </c>
      <c r="P66">
        <v>33.299999999999997</v>
      </c>
      <c r="Q66">
        <v>7.87</v>
      </c>
      <c r="R66">
        <v>2.78</v>
      </c>
      <c r="S66">
        <v>1.07</v>
      </c>
      <c r="T66">
        <v>14.98</v>
      </c>
      <c r="U66">
        <v>1.45</v>
      </c>
      <c r="V66">
        <v>1.92</v>
      </c>
      <c r="W66">
        <v>106.39</v>
      </c>
      <c r="X66" t="s">
        <v>32</v>
      </c>
      <c r="Y66" t="s">
        <v>40</v>
      </c>
    </row>
    <row r="67" spans="1:25" x14ac:dyDescent="0.3">
      <c r="A67">
        <v>66</v>
      </c>
      <c r="B67" t="s">
        <v>172</v>
      </c>
      <c r="C67" t="s">
        <v>173</v>
      </c>
      <c r="D67" t="s">
        <v>27</v>
      </c>
      <c r="E67" t="s">
        <v>28</v>
      </c>
      <c r="F67">
        <v>2</v>
      </c>
      <c r="G67">
        <v>200</v>
      </c>
      <c r="H67">
        <v>400</v>
      </c>
      <c r="I67">
        <v>90</v>
      </c>
      <c r="J67">
        <v>180</v>
      </c>
      <c r="K67">
        <v>220</v>
      </c>
      <c r="L67" t="s">
        <v>29</v>
      </c>
      <c r="M67" t="s">
        <v>56</v>
      </c>
      <c r="N67" t="s">
        <v>90</v>
      </c>
      <c r="O67">
        <v>11.58</v>
      </c>
      <c r="P67">
        <v>33.409999999999997</v>
      </c>
      <c r="Q67">
        <v>9.44</v>
      </c>
      <c r="R67">
        <v>23.09</v>
      </c>
      <c r="S67">
        <v>3.16</v>
      </c>
      <c r="T67">
        <v>14.84</v>
      </c>
      <c r="U67">
        <v>6.87</v>
      </c>
      <c r="V67">
        <v>1.4</v>
      </c>
      <c r="W67">
        <v>116.21</v>
      </c>
      <c r="X67" t="s">
        <v>32</v>
      </c>
      <c r="Y67" t="s">
        <v>40</v>
      </c>
    </row>
    <row r="68" spans="1:25" x14ac:dyDescent="0.3">
      <c r="A68">
        <v>67</v>
      </c>
      <c r="B68" t="s">
        <v>174</v>
      </c>
      <c r="C68" t="s">
        <v>175</v>
      </c>
      <c r="D68" t="s">
        <v>54</v>
      </c>
      <c r="E68" t="s">
        <v>28</v>
      </c>
      <c r="F68">
        <v>3</v>
      </c>
      <c r="G68">
        <v>120</v>
      </c>
      <c r="H68">
        <v>360</v>
      </c>
      <c r="I68">
        <v>50</v>
      </c>
      <c r="J68">
        <v>150</v>
      </c>
      <c r="K68">
        <v>210</v>
      </c>
      <c r="L68" t="s">
        <v>29</v>
      </c>
      <c r="M68" t="s">
        <v>38</v>
      </c>
      <c r="N68" t="s">
        <v>31</v>
      </c>
      <c r="O68">
        <v>38.520000000000003</v>
      </c>
      <c r="P68">
        <v>16.600000000000001</v>
      </c>
      <c r="Q68">
        <v>14.82</v>
      </c>
      <c r="R68">
        <v>12.54</v>
      </c>
      <c r="S68">
        <v>0.48</v>
      </c>
      <c r="T68">
        <v>12.83</v>
      </c>
      <c r="U68">
        <v>1.43</v>
      </c>
      <c r="V68">
        <v>0.79</v>
      </c>
      <c r="W68">
        <v>111.99</v>
      </c>
      <c r="X68" t="s">
        <v>66</v>
      </c>
      <c r="Y68" t="s">
        <v>33</v>
      </c>
    </row>
    <row r="69" spans="1:25" x14ac:dyDescent="0.3">
      <c r="A69">
        <v>68</v>
      </c>
      <c r="B69" t="s">
        <v>132</v>
      </c>
      <c r="C69" t="s">
        <v>176</v>
      </c>
      <c r="D69" t="s">
        <v>43</v>
      </c>
      <c r="E69" t="s">
        <v>43</v>
      </c>
      <c r="F69">
        <v>1</v>
      </c>
      <c r="G69">
        <v>80</v>
      </c>
      <c r="H69">
        <v>80</v>
      </c>
      <c r="I69">
        <v>30</v>
      </c>
      <c r="J69">
        <v>30</v>
      </c>
      <c r="K69">
        <v>50</v>
      </c>
      <c r="L69" t="s">
        <v>29</v>
      </c>
      <c r="M69" t="s">
        <v>38</v>
      </c>
      <c r="N69" t="s">
        <v>51</v>
      </c>
      <c r="O69">
        <v>29.33</v>
      </c>
      <c r="P69">
        <v>34.76</v>
      </c>
      <c r="Q69">
        <v>15.91</v>
      </c>
      <c r="R69">
        <v>3.44</v>
      </c>
      <c r="S69">
        <v>3.09</v>
      </c>
      <c r="T69">
        <v>11.76</v>
      </c>
      <c r="U69">
        <v>5.71</v>
      </c>
      <c r="V69">
        <v>1.32</v>
      </c>
      <c r="W69">
        <v>-55.32</v>
      </c>
      <c r="X69" t="s">
        <v>57</v>
      </c>
      <c r="Y69" t="s">
        <v>33</v>
      </c>
    </row>
    <row r="70" spans="1:25" x14ac:dyDescent="0.3">
      <c r="A70">
        <v>69</v>
      </c>
      <c r="B70" t="s">
        <v>177</v>
      </c>
      <c r="C70" t="s">
        <v>178</v>
      </c>
      <c r="D70" t="s">
        <v>89</v>
      </c>
      <c r="E70" t="s">
        <v>28</v>
      </c>
      <c r="F70">
        <v>2</v>
      </c>
      <c r="G70">
        <v>180</v>
      </c>
      <c r="H70">
        <v>360</v>
      </c>
      <c r="I70">
        <v>75</v>
      </c>
      <c r="J70">
        <v>150</v>
      </c>
      <c r="K70">
        <v>210</v>
      </c>
      <c r="L70" t="s">
        <v>44</v>
      </c>
      <c r="M70" t="s">
        <v>30</v>
      </c>
      <c r="N70" t="s">
        <v>31</v>
      </c>
      <c r="O70">
        <v>15.87</v>
      </c>
      <c r="P70">
        <v>47.51</v>
      </c>
      <c r="Q70">
        <v>7.84</v>
      </c>
      <c r="R70">
        <v>29.73</v>
      </c>
      <c r="S70">
        <v>4.9000000000000004</v>
      </c>
      <c r="T70">
        <v>7.68</v>
      </c>
      <c r="U70">
        <v>3.19</v>
      </c>
      <c r="V70">
        <v>1.67</v>
      </c>
      <c r="W70">
        <v>91.61</v>
      </c>
      <c r="X70" t="s">
        <v>57</v>
      </c>
      <c r="Y70" t="s">
        <v>40</v>
      </c>
    </row>
    <row r="71" spans="1:25" x14ac:dyDescent="0.3">
      <c r="A71">
        <v>70</v>
      </c>
      <c r="B71" t="s">
        <v>79</v>
      </c>
      <c r="C71" t="s">
        <v>179</v>
      </c>
      <c r="D71" t="s">
        <v>43</v>
      </c>
      <c r="E71" t="s">
        <v>43</v>
      </c>
      <c r="F71">
        <v>3</v>
      </c>
      <c r="G71">
        <v>80</v>
      </c>
      <c r="H71">
        <v>240</v>
      </c>
      <c r="I71">
        <v>30</v>
      </c>
      <c r="J71">
        <v>90</v>
      </c>
      <c r="K71">
        <v>150</v>
      </c>
      <c r="L71" t="s">
        <v>29</v>
      </c>
      <c r="M71" t="s">
        <v>45</v>
      </c>
      <c r="N71" t="s">
        <v>39</v>
      </c>
      <c r="O71">
        <v>28.83</v>
      </c>
      <c r="P71">
        <v>46.54</v>
      </c>
      <c r="Q71">
        <v>19.489999999999998</v>
      </c>
      <c r="R71">
        <v>13.91</v>
      </c>
      <c r="S71">
        <v>4.76</v>
      </c>
      <c r="T71">
        <v>13.8</v>
      </c>
      <c r="U71">
        <v>6.25</v>
      </c>
      <c r="V71">
        <v>2.42</v>
      </c>
      <c r="W71">
        <v>14</v>
      </c>
      <c r="X71" t="s">
        <v>66</v>
      </c>
      <c r="Y71" t="s">
        <v>33</v>
      </c>
    </row>
    <row r="72" spans="1:25" x14ac:dyDescent="0.3">
      <c r="A72">
        <v>71</v>
      </c>
      <c r="B72" t="s">
        <v>180</v>
      </c>
      <c r="C72" t="s">
        <v>181</v>
      </c>
      <c r="D72" t="s">
        <v>49</v>
      </c>
      <c r="E72" t="s">
        <v>50</v>
      </c>
      <c r="F72">
        <v>1</v>
      </c>
      <c r="G72">
        <v>180</v>
      </c>
      <c r="H72">
        <v>180</v>
      </c>
      <c r="I72">
        <v>90</v>
      </c>
      <c r="J72">
        <v>90</v>
      </c>
      <c r="K72">
        <v>90</v>
      </c>
      <c r="L72" t="s">
        <v>44</v>
      </c>
      <c r="M72" t="s">
        <v>56</v>
      </c>
      <c r="N72" t="s">
        <v>90</v>
      </c>
      <c r="O72">
        <v>16.61</v>
      </c>
      <c r="P72">
        <v>28.64</v>
      </c>
      <c r="Q72">
        <v>19.989999999999998</v>
      </c>
      <c r="R72">
        <v>20.43</v>
      </c>
      <c r="S72">
        <v>0.48</v>
      </c>
      <c r="T72">
        <v>4.96</v>
      </c>
      <c r="U72">
        <v>4.2300000000000004</v>
      </c>
      <c r="V72">
        <v>0.31</v>
      </c>
      <c r="W72">
        <v>-5.65</v>
      </c>
      <c r="X72" t="s">
        <v>66</v>
      </c>
      <c r="Y72" t="s">
        <v>33</v>
      </c>
    </row>
    <row r="73" spans="1:25" x14ac:dyDescent="0.3">
      <c r="A73">
        <v>72</v>
      </c>
      <c r="B73" t="s">
        <v>182</v>
      </c>
      <c r="C73" t="s">
        <v>183</v>
      </c>
      <c r="D73" t="s">
        <v>36</v>
      </c>
      <c r="E73" t="s">
        <v>28</v>
      </c>
      <c r="F73">
        <v>4</v>
      </c>
      <c r="G73">
        <v>220</v>
      </c>
      <c r="H73">
        <v>880</v>
      </c>
      <c r="I73">
        <v>100</v>
      </c>
      <c r="J73">
        <v>400</v>
      </c>
      <c r="K73">
        <v>480</v>
      </c>
      <c r="L73" t="s">
        <v>55</v>
      </c>
      <c r="M73" t="s">
        <v>38</v>
      </c>
      <c r="N73" t="s">
        <v>90</v>
      </c>
      <c r="O73">
        <v>11.37</v>
      </c>
      <c r="P73">
        <v>33.17</v>
      </c>
      <c r="Q73">
        <v>8.35</v>
      </c>
      <c r="R73">
        <v>0.51</v>
      </c>
      <c r="S73">
        <v>4.93</v>
      </c>
      <c r="T73">
        <v>13.32</v>
      </c>
      <c r="U73">
        <v>4.47</v>
      </c>
      <c r="V73">
        <v>2.15</v>
      </c>
      <c r="W73">
        <v>401.73</v>
      </c>
      <c r="X73" t="s">
        <v>66</v>
      </c>
      <c r="Y73" t="s">
        <v>40</v>
      </c>
    </row>
    <row r="74" spans="1:25" x14ac:dyDescent="0.3">
      <c r="A74">
        <v>73</v>
      </c>
      <c r="B74" t="s">
        <v>135</v>
      </c>
      <c r="C74" t="s">
        <v>184</v>
      </c>
      <c r="D74" t="s">
        <v>89</v>
      </c>
      <c r="E74" t="s">
        <v>28</v>
      </c>
      <c r="F74">
        <v>2</v>
      </c>
      <c r="G74">
        <v>180</v>
      </c>
      <c r="H74">
        <v>360</v>
      </c>
      <c r="I74">
        <v>75</v>
      </c>
      <c r="J74">
        <v>150</v>
      </c>
      <c r="K74">
        <v>210</v>
      </c>
      <c r="L74" t="s">
        <v>55</v>
      </c>
      <c r="M74" t="s">
        <v>38</v>
      </c>
      <c r="N74" t="s">
        <v>31</v>
      </c>
      <c r="O74">
        <v>20.309999999999999</v>
      </c>
      <c r="P74">
        <v>28</v>
      </c>
      <c r="Q74">
        <v>11.39</v>
      </c>
      <c r="R74">
        <v>34.78</v>
      </c>
      <c r="S74">
        <v>0.89</v>
      </c>
      <c r="T74">
        <v>8.69</v>
      </c>
      <c r="U74">
        <v>1.04</v>
      </c>
      <c r="V74">
        <v>2.65</v>
      </c>
      <c r="W74">
        <v>102.25</v>
      </c>
      <c r="X74" t="s">
        <v>66</v>
      </c>
      <c r="Y74" t="s">
        <v>40</v>
      </c>
    </row>
    <row r="75" spans="1:25" x14ac:dyDescent="0.3">
      <c r="A75">
        <v>74</v>
      </c>
      <c r="B75" t="s">
        <v>159</v>
      </c>
      <c r="C75" t="s">
        <v>185</v>
      </c>
      <c r="D75" t="s">
        <v>49</v>
      </c>
      <c r="E75" t="s">
        <v>50</v>
      </c>
      <c r="F75">
        <v>2</v>
      </c>
      <c r="G75">
        <v>180</v>
      </c>
      <c r="H75">
        <v>360</v>
      </c>
      <c r="I75">
        <v>90</v>
      </c>
      <c r="J75">
        <v>180</v>
      </c>
      <c r="K75">
        <v>180</v>
      </c>
      <c r="L75" t="s">
        <v>29</v>
      </c>
      <c r="M75" t="s">
        <v>45</v>
      </c>
      <c r="N75" t="s">
        <v>46</v>
      </c>
      <c r="O75">
        <v>29.7</v>
      </c>
      <c r="P75">
        <v>42.98</v>
      </c>
      <c r="Q75">
        <v>14.27</v>
      </c>
      <c r="R75">
        <v>8.1199999999999992</v>
      </c>
      <c r="S75">
        <v>0.85</v>
      </c>
      <c r="T75">
        <v>7.25</v>
      </c>
      <c r="U75">
        <v>6.93</v>
      </c>
      <c r="V75">
        <v>2.6</v>
      </c>
      <c r="W75">
        <v>67.3</v>
      </c>
      <c r="X75" t="s">
        <v>66</v>
      </c>
      <c r="Y75" t="s">
        <v>40</v>
      </c>
    </row>
    <row r="76" spans="1:25" x14ac:dyDescent="0.3">
      <c r="A76">
        <v>75</v>
      </c>
      <c r="B76" t="s">
        <v>143</v>
      </c>
      <c r="C76" t="s">
        <v>186</v>
      </c>
      <c r="D76" t="s">
        <v>89</v>
      </c>
      <c r="E76" t="s">
        <v>28</v>
      </c>
      <c r="F76">
        <v>3</v>
      </c>
      <c r="G76">
        <v>180</v>
      </c>
      <c r="H76">
        <v>540</v>
      </c>
      <c r="I76">
        <v>75</v>
      </c>
      <c r="J76">
        <v>225</v>
      </c>
      <c r="K76">
        <v>315</v>
      </c>
      <c r="L76" t="s">
        <v>29</v>
      </c>
      <c r="M76" t="s">
        <v>45</v>
      </c>
      <c r="N76" t="s">
        <v>90</v>
      </c>
      <c r="O76">
        <v>21.7</v>
      </c>
      <c r="P76">
        <v>19.14</v>
      </c>
      <c r="Q76">
        <v>15.84</v>
      </c>
      <c r="R76">
        <v>4.3499999999999996</v>
      </c>
      <c r="S76">
        <v>1.59</v>
      </c>
      <c r="T76">
        <v>3.42</v>
      </c>
      <c r="U76">
        <v>4.76</v>
      </c>
      <c r="V76">
        <v>0.09</v>
      </c>
      <c r="W76">
        <v>244.11</v>
      </c>
      <c r="X76" t="s">
        <v>66</v>
      </c>
      <c r="Y76" t="s">
        <v>33</v>
      </c>
    </row>
    <row r="77" spans="1:25" x14ac:dyDescent="0.3">
      <c r="A77">
        <v>76</v>
      </c>
      <c r="B77" t="s">
        <v>134</v>
      </c>
      <c r="C77" t="s">
        <v>187</v>
      </c>
      <c r="D77" t="s">
        <v>89</v>
      </c>
      <c r="E77" t="s">
        <v>28</v>
      </c>
      <c r="F77">
        <v>4</v>
      </c>
      <c r="G77">
        <v>180</v>
      </c>
      <c r="H77">
        <v>720</v>
      </c>
      <c r="I77">
        <v>75</v>
      </c>
      <c r="J77">
        <v>300</v>
      </c>
      <c r="K77">
        <v>420</v>
      </c>
      <c r="L77" t="s">
        <v>29</v>
      </c>
      <c r="M77" t="s">
        <v>63</v>
      </c>
      <c r="N77" t="s">
        <v>31</v>
      </c>
      <c r="O77">
        <v>15.73</v>
      </c>
      <c r="P77">
        <v>49.73</v>
      </c>
      <c r="Q77">
        <v>10.199999999999999</v>
      </c>
      <c r="R77">
        <v>30.99</v>
      </c>
      <c r="S77">
        <v>3.47</v>
      </c>
      <c r="T77">
        <v>3.31</v>
      </c>
      <c r="U77">
        <v>3.8</v>
      </c>
      <c r="V77">
        <v>1.38</v>
      </c>
      <c r="W77">
        <v>301.39</v>
      </c>
      <c r="X77" t="s">
        <v>32</v>
      </c>
      <c r="Y77" t="s">
        <v>40</v>
      </c>
    </row>
    <row r="78" spans="1:25" x14ac:dyDescent="0.3">
      <c r="A78">
        <v>77</v>
      </c>
      <c r="B78" t="s">
        <v>188</v>
      </c>
      <c r="C78" t="s">
        <v>189</v>
      </c>
      <c r="D78" t="s">
        <v>62</v>
      </c>
      <c r="E78" t="s">
        <v>28</v>
      </c>
      <c r="F78">
        <v>1</v>
      </c>
      <c r="G78">
        <v>250</v>
      </c>
      <c r="H78">
        <v>250</v>
      </c>
      <c r="I78">
        <v>110</v>
      </c>
      <c r="J78">
        <v>110</v>
      </c>
      <c r="K78">
        <v>140</v>
      </c>
      <c r="L78" t="s">
        <v>37</v>
      </c>
      <c r="M78" t="s">
        <v>63</v>
      </c>
      <c r="N78" t="s">
        <v>81</v>
      </c>
      <c r="O78">
        <v>30.95</v>
      </c>
      <c r="P78">
        <v>26.04</v>
      </c>
      <c r="Q78">
        <v>5.41</v>
      </c>
      <c r="R78">
        <v>29.52</v>
      </c>
      <c r="S78">
        <v>4.1900000000000004</v>
      </c>
      <c r="T78">
        <v>10.64</v>
      </c>
      <c r="U78">
        <v>2.04</v>
      </c>
      <c r="V78">
        <v>0.9</v>
      </c>
      <c r="W78">
        <v>30.31</v>
      </c>
      <c r="X78" t="s">
        <v>66</v>
      </c>
      <c r="Y78" t="s">
        <v>33</v>
      </c>
    </row>
    <row r="79" spans="1:25" x14ac:dyDescent="0.3">
      <c r="A79">
        <v>78</v>
      </c>
      <c r="B79" t="s">
        <v>126</v>
      </c>
      <c r="C79" t="s">
        <v>190</v>
      </c>
      <c r="D79" t="s">
        <v>54</v>
      </c>
      <c r="E79" t="s">
        <v>28</v>
      </c>
      <c r="F79">
        <v>2</v>
      </c>
      <c r="G79">
        <v>120</v>
      </c>
      <c r="H79">
        <v>240</v>
      </c>
      <c r="I79">
        <v>50</v>
      </c>
      <c r="J79">
        <v>100</v>
      </c>
      <c r="K79">
        <v>140</v>
      </c>
      <c r="L79" t="s">
        <v>86</v>
      </c>
      <c r="M79" t="s">
        <v>63</v>
      </c>
      <c r="N79" t="s">
        <v>90</v>
      </c>
      <c r="O79">
        <v>34.42</v>
      </c>
      <c r="P79">
        <v>30.78</v>
      </c>
      <c r="Q79">
        <v>14.39</v>
      </c>
      <c r="R79">
        <v>34.159999999999997</v>
      </c>
      <c r="S79">
        <v>3.15</v>
      </c>
      <c r="T79">
        <v>13.4</v>
      </c>
      <c r="U79">
        <v>5.03</v>
      </c>
      <c r="V79">
        <v>2.91</v>
      </c>
      <c r="W79">
        <v>1.76</v>
      </c>
      <c r="X79" t="s">
        <v>32</v>
      </c>
      <c r="Y79" t="s">
        <v>40</v>
      </c>
    </row>
    <row r="80" spans="1:25" x14ac:dyDescent="0.3">
      <c r="A80">
        <v>79</v>
      </c>
      <c r="B80" t="s">
        <v>191</v>
      </c>
      <c r="C80" t="s">
        <v>192</v>
      </c>
      <c r="D80" t="s">
        <v>89</v>
      </c>
      <c r="E80" t="s">
        <v>28</v>
      </c>
      <c r="F80">
        <v>3</v>
      </c>
      <c r="G80">
        <v>180</v>
      </c>
      <c r="H80">
        <v>540</v>
      </c>
      <c r="I80">
        <v>75</v>
      </c>
      <c r="J80">
        <v>225</v>
      </c>
      <c r="K80">
        <v>315</v>
      </c>
      <c r="L80" t="s">
        <v>29</v>
      </c>
      <c r="M80" t="s">
        <v>63</v>
      </c>
      <c r="N80" t="s">
        <v>81</v>
      </c>
      <c r="O80">
        <v>37.24</v>
      </c>
      <c r="P80">
        <v>56.67</v>
      </c>
      <c r="Q80">
        <v>7.47</v>
      </c>
      <c r="R80">
        <v>27.67</v>
      </c>
      <c r="S80">
        <v>1.01</v>
      </c>
      <c r="T80">
        <v>6.46</v>
      </c>
      <c r="U80">
        <v>7.55</v>
      </c>
      <c r="V80">
        <v>2.29</v>
      </c>
      <c r="W80">
        <v>168.64</v>
      </c>
      <c r="X80" t="s">
        <v>32</v>
      </c>
      <c r="Y80" t="s">
        <v>33</v>
      </c>
    </row>
    <row r="81" spans="1:25" x14ac:dyDescent="0.3">
      <c r="A81">
        <v>80</v>
      </c>
      <c r="B81" t="s">
        <v>193</v>
      </c>
      <c r="C81" t="s">
        <v>146</v>
      </c>
      <c r="D81" t="s">
        <v>43</v>
      </c>
      <c r="E81" t="s">
        <v>43</v>
      </c>
      <c r="F81">
        <v>4</v>
      </c>
      <c r="G81">
        <v>80</v>
      </c>
      <c r="H81">
        <v>320</v>
      </c>
      <c r="I81">
        <v>30</v>
      </c>
      <c r="J81">
        <v>120</v>
      </c>
      <c r="K81">
        <v>200</v>
      </c>
      <c r="L81" t="s">
        <v>37</v>
      </c>
      <c r="M81" t="s">
        <v>30</v>
      </c>
      <c r="N81" t="s">
        <v>90</v>
      </c>
      <c r="O81">
        <v>24.16</v>
      </c>
      <c r="P81">
        <v>42.55</v>
      </c>
      <c r="Q81">
        <v>19.95</v>
      </c>
      <c r="R81">
        <v>1.53</v>
      </c>
      <c r="S81">
        <v>0.91</v>
      </c>
      <c r="T81">
        <v>13.48</v>
      </c>
      <c r="U81">
        <v>1.1399999999999999</v>
      </c>
      <c r="V81">
        <v>2.85</v>
      </c>
      <c r="W81">
        <v>93.43</v>
      </c>
      <c r="X81" t="s">
        <v>32</v>
      </c>
      <c r="Y81" t="s">
        <v>33</v>
      </c>
    </row>
    <row r="82" spans="1:25" x14ac:dyDescent="0.3">
      <c r="A82">
        <v>81</v>
      </c>
      <c r="B82" t="s">
        <v>95</v>
      </c>
      <c r="C82" t="s">
        <v>61</v>
      </c>
      <c r="D82" t="s">
        <v>89</v>
      </c>
      <c r="E82" t="s">
        <v>28</v>
      </c>
      <c r="F82">
        <v>2</v>
      </c>
      <c r="G82">
        <v>180</v>
      </c>
      <c r="H82">
        <v>360</v>
      </c>
      <c r="I82">
        <v>75</v>
      </c>
      <c r="J82">
        <v>150</v>
      </c>
      <c r="K82">
        <v>210</v>
      </c>
      <c r="L82" t="s">
        <v>86</v>
      </c>
      <c r="M82" t="s">
        <v>30</v>
      </c>
      <c r="N82" t="s">
        <v>51</v>
      </c>
      <c r="O82">
        <v>24.27</v>
      </c>
      <c r="P82">
        <v>45.9</v>
      </c>
      <c r="Q82">
        <v>18.63</v>
      </c>
      <c r="R82">
        <v>11.23</v>
      </c>
      <c r="S82">
        <v>3.33</v>
      </c>
      <c r="T82">
        <v>13.6</v>
      </c>
      <c r="U82">
        <v>7.63</v>
      </c>
      <c r="V82">
        <v>2.34</v>
      </c>
      <c r="W82">
        <v>83.07</v>
      </c>
      <c r="X82" t="s">
        <v>66</v>
      </c>
      <c r="Y82" t="s">
        <v>33</v>
      </c>
    </row>
    <row r="83" spans="1:25" x14ac:dyDescent="0.3">
      <c r="A83">
        <v>82</v>
      </c>
      <c r="B83" t="s">
        <v>161</v>
      </c>
      <c r="C83" t="s">
        <v>194</v>
      </c>
      <c r="D83" t="s">
        <v>27</v>
      </c>
      <c r="E83" t="s">
        <v>28</v>
      </c>
      <c r="F83">
        <v>4</v>
      </c>
      <c r="G83">
        <v>200</v>
      </c>
      <c r="H83">
        <v>800</v>
      </c>
      <c r="I83">
        <v>90</v>
      </c>
      <c r="J83">
        <v>360</v>
      </c>
      <c r="K83">
        <v>440</v>
      </c>
      <c r="L83" t="s">
        <v>29</v>
      </c>
      <c r="M83" t="s">
        <v>45</v>
      </c>
      <c r="N83" t="s">
        <v>46</v>
      </c>
      <c r="O83">
        <v>20.18</v>
      </c>
      <c r="P83">
        <v>43.15</v>
      </c>
      <c r="Q83">
        <v>15.74</v>
      </c>
      <c r="R83">
        <v>16.25</v>
      </c>
      <c r="S83">
        <v>2.72</v>
      </c>
      <c r="T83">
        <v>5.97</v>
      </c>
      <c r="U83">
        <v>3.1</v>
      </c>
      <c r="V83">
        <v>1.6</v>
      </c>
      <c r="W83">
        <v>331.29</v>
      </c>
      <c r="X83" t="s">
        <v>32</v>
      </c>
      <c r="Y83" t="s">
        <v>40</v>
      </c>
    </row>
    <row r="84" spans="1:25" x14ac:dyDescent="0.3">
      <c r="A84">
        <v>83</v>
      </c>
      <c r="B84" t="s">
        <v>195</v>
      </c>
      <c r="C84" t="s">
        <v>196</v>
      </c>
      <c r="D84" t="s">
        <v>36</v>
      </c>
      <c r="E84" t="s">
        <v>28</v>
      </c>
      <c r="F84">
        <v>2</v>
      </c>
      <c r="G84">
        <v>220</v>
      </c>
      <c r="H84">
        <v>440</v>
      </c>
      <c r="I84">
        <v>100</v>
      </c>
      <c r="J84">
        <v>200</v>
      </c>
      <c r="K84">
        <v>240</v>
      </c>
      <c r="L84" t="s">
        <v>86</v>
      </c>
      <c r="M84" t="s">
        <v>63</v>
      </c>
      <c r="N84" t="s">
        <v>31</v>
      </c>
      <c r="O84">
        <v>27.87</v>
      </c>
      <c r="P84">
        <v>51.65</v>
      </c>
      <c r="Q84">
        <v>5.16</v>
      </c>
      <c r="R84">
        <v>27.14</v>
      </c>
      <c r="S84">
        <v>2.02</v>
      </c>
      <c r="T84">
        <v>13.41</v>
      </c>
      <c r="U84">
        <v>5.2</v>
      </c>
      <c r="V84">
        <v>1.93</v>
      </c>
      <c r="W84">
        <v>105.62</v>
      </c>
      <c r="X84" t="s">
        <v>66</v>
      </c>
      <c r="Y84" t="s">
        <v>33</v>
      </c>
    </row>
    <row r="85" spans="1:25" x14ac:dyDescent="0.3">
      <c r="A85">
        <v>84</v>
      </c>
      <c r="B85" t="s">
        <v>166</v>
      </c>
      <c r="C85" t="s">
        <v>197</v>
      </c>
      <c r="D85" t="s">
        <v>62</v>
      </c>
      <c r="E85" t="s">
        <v>28</v>
      </c>
      <c r="F85">
        <v>2</v>
      </c>
      <c r="G85">
        <v>250</v>
      </c>
      <c r="H85">
        <v>500</v>
      </c>
      <c r="I85">
        <v>110</v>
      </c>
      <c r="J85">
        <v>220</v>
      </c>
      <c r="K85">
        <v>280</v>
      </c>
      <c r="L85" t="s">
        <v>86</v>
      </c>
      <c r="M85" t="s">
        <v>63</v>
      </c>
      <c r="N85" t="s">
        <v>31</v>
      </c>
      <c r="O85">
        <v>36.729999999999997</v>
      </c>
      <c r="P85">
        <v>26.97</v>
      </c>
      <c r="Q85">
        <v>7.58</v>
      </c>
      <c r="R85">
        <v>14.61</v>
      </c>
      <c r="S85">
        <v>3.76</v>
      </c>
      <c r="T85">
        <v>2.12</v>
      </c>
      <c r="U85">
        <v>3.1</v>
      </c>
      <c r="V85">
        <v>2.54</v>
      </c>
      <c r="W85">
        <v>182.59</v>
      </c>
      <c r="X85" t="s">
        <v>32</v>
      </c>
      <c r="Y85" t="s">
        <v>33</v>
      </c>
    </row>
    <row r="86" spans="1:25" x14ac:dyDescent="0.3">
      <c r="A86">
        <v>85</v>
      </c>
      <c r="B86" t="s">
        <v>198</v>
      </c>
      <c r="C86" t="s">
        <v>199</v>
      </c>
      <c r="D86" t="s">
        <v>62</v>
      </c>
      <c r="E86" t="s">
        <v>28</v>
      </c>
      <c r="F86">
        <v>1</v>
      </c>
      <c r="G86">
        <v>250</v>
      </c>
      <c r="H86">
        <v>250</v>
      </c>
      <c r="I86">
        <v>110</v>
      </c>
      <c r="J86">
        <v>110</v>
      </c>
      <c r="K86">
        <v>140</v>
      </c>
      <c r="L86" t="s">
        <v>86</v>
      </c>
      <c r="M86" t="s">
        <v>30</v>
      </c>
      <c r="N86" t="s">
        <v>31</v>
      </c>
      <c r="O86">
        <v>20.58</v>
      </c>
      <c r="P86">
        <v>48.1</v>
      </c>
      <c r="Q86">
        <v>7.92</v>
      </c>
      <c r="R86">
        <v>27.95</v>
      </c>
      <c r="S86">
        <v>1.43</v>
      </c>
      <c r="T86">
        <v>8.2899999999999991</v>
      </c>
      <c r="U86">
        <v>5.23</v>
      </c>
      <c r="V86">
        <v>2.2000000000000002</v>
      </c>
      <c r="W86">
        <v>18.3</v>
      </c>
      <c r="X86" t="s">
        <v>32</v>
      </c>
      <c r="Y86" t="s">
        <v>40</v>
      </c>
    </row>
    <row r="87" spans="1:25" x14ac:dyDescent="0.3">
      <c r="A87">
        <v>86</v>
      </c>
      <c r="B87" t="s">
        <v>200</v>
      </c>
      <c r="C87" t="s">
        <v>102</v>
      </c>
      <c r="D87" t="s">
        <v>89</v>
      </c>
      <c r="E87" t="s">
        <v>28</v>
      </c>
      <c r="F87">
        <v>2</v>
      </c>
      <c r="G87">
        <v>180</v>
      </c>
      <c r="H87">
        <v>360</v>
      </c>
      <c r="I87">
        <v>75</v>
      </c>
      <c r="J87">
        <v>150</v>
      </c>
      <c r="K87">
        <v>210</v>
      </c>
      <c r="L87" t="s">
        <v>44</v>
      </c>
      <c r="M87" t="s">
        <v>63</v>
      </c>
      <c r="N87" t="s">
        <v>90</v>
      </c>
      <c r="O87">
        <v>37.65</v>
      </c>
      <c r="P87">
        <v>33.31</v>
      </c>
      <c r="Q87">
        <v>8.16</v>
      </c>
      <c r="R87">
        <v>14.98</v>
      </c>
      <c r="S87">
        <v>3.09</v>
      </c>
      <c r="T87">
        <v>5.5</v>
      </c>
      <c r="U87">
        <v>5.44</v>
      </c>
      <c r="V87">
        <v>2.74</v>
      </c>
      <c r="W87">
        <v>99.13</v>
      </c>
      <c r="X87" t="s">
        <v>32</v>
      </c>
      <c r="Y87" t="s">
        <v>40</v>
      </c>
    </row>
    <row r="88" spans="1:25" x14ac:dyDescent="0.3">
      <c r="A88">
        <v>87</v>
      </c>
      <c r="B88" t="s">
        <v>201</v>
      </c>
      <c r="C88" t="s">
        <v>202</v>
      </c>
      <c r="D88" t="s">
        <v>89</v>
      </c>
      <c r="E88" t="s">
        <v>28</v>
      </c>
      <c r="F88">
        <v>2</v>
      </c>
      <c r="G88">
        <v>180</v>
      </c>
      <c r="H88">
        <v>360</v>
      </c>
      <c r="I88">
        <v>75</v>
      </c>
      <c r="J88">
        <v>150</v>
      </c>
      <c r="K88">
        <v>210</v>
      </c>
      <c r="L88" t="s">
        <v>44</v>
      </c>
      <c r="M88" t="s">
        <v>45</v>
      </c>
      <c r="N88" t="s">
        <v>51</v>
      </c>
      <c r="O88">
        <v>20.07</v>
      </c>
      <c r="P88">
        <v>32.119999999999997</v>
      </c>
      <c r="Q88">
        <v>12.2</v>
      </c>
      <c r="R88">
        <v>18.45</v>
      </c>
      <c r="S88">
        <v>1.23</v>
      </c>
      <c r="T88">
        <v>3.64</v>
      </c>
      <c r="U88">
        <v>5.57</v>
      </c>
      <c r="V88">
        <v>0.41</v>
      </c>
      <c r="W88">
        <v>116.31</v>
      </c>
      <c r="X88" t="s">
        <v>32</v>
      </c>
      <c r="Y88" t="s">
        <v>40</v>
      </c>
    </row>
    <row r="89" spans="1:25" x14ac:dyDescent="0.3">
      <c r="A89">
        <v>88</v>
      </c>
      <c r="B89" t="s">
        <v>203</v>
      </c>
      <c r="C89" t="s">
        <v>204</v>
      </c>
      <c r="D89" t="s">
        <v>43</v>
      </c>
      <c r="E89" t="s">
        <v>43</v>
      </c>
      <c r="F89">
        <v>1</v>
      </c>
      <c r="G89">
        <v>80</v>
      </c>
      <c r="H89">
        <v>80</v>
      </c>
      <c r="I89">
        <v>30</v>
      </c>
      <c r="J89">
        <v>30</v>
      </c>
      <c r="K89">
        <v>50</v>
      </c>
      <c r="L89" t="s">
        <v>29</v>
      </c>
      <c r="M89" t="s">
        <v>63</v>
      </c>
      <c r="N89" t="s">
        <v>90</v>
      </c>
      <c r="O89">
        <v>10.050000000000001</v>
      </c>
      <c r="P89">
        <v>29.51</v>
      </c>
      <c r="Q89">
        <v>15.93</v>
      </c>
      <c r="R89">
        <v>31.87</v>
      </c>
      <c r="S89">
        <v>2.02</v>
      </c>
      <c r="T89">
        <v>7.38</v>
      </c>
      <c r="U89">
        <v>5.28</v>
      </c>
      <c r="V89">
        <v>0.41</v>
      </c>
      <c r="W89">
        <v>-52.45</v>
      </c>
      <c r="X89" t="s">
        <v>32</v>
      </c>
      <c r="Y89" t="s">
        <v>40</v>
      </c>
    </row>
    <row r="90" spans="1:25" x14ac:dyDescent="0.3">
      <c r="A90">
        <v>89</v>
      </c>
      <c r="B90" t="s">
        <v>101</v>
      </c>
      <c r="C90" t="s">
        <v>140</v>
      </c>
      <c r="D90" t="s">
        <v>109</v>
      </c>
      <c r="E90" t="s">
        <v>50</v>
      </c>
      <c r="F90">
        <v>4</v>
      </c>
      <c r="G90">
        <v>150</v>
      </c>
      <c r="H90">
        <v>600</v>
      </c>
      <c r="I90">
        <v>70</v>
      </c>
      <c r="J90">
        <v>280</v>
      </c>
      <c r="K90">
        <v>320</v>
      </c>
      <c r="L90" t="s">
        <v>44</v>
      </c>
      <c r="M90" t="s">
        <v>30</v>
      </c>
      <c r="N90" t="s">
        <v>51</v>
      </c>
      <c r="O90">
        <v>26.77</v>
      </c>
      <c r="P90">
        <v>42.62</v>
      </c>
      <c r="Q90">
        <v>13.53</v>
      </c>
      <c r="R90">
        <v>11.11</v>
      </c>
      <c r="S90">
        <v>3.62</v>
      </c>
      <c r="T90">
        <v>6.36</v>
      </c>
      <c r="U90">
        <v>7.93</v>
      </c>
      <c r="V90">
        <v>1.52</v>
      </c>
      <c r="W90">
        <v>206.54</v>
      </c>
      <c r="X90" t="s">
        <v>57</v>
      </c>
      <c r="Y90" t="s">
        <v>33</v>
      </c>
    </row>
    <row r="91" spans="1:25" x14ac:dyDescent="0.3">
      <c r="A91">
        <v>90</v>
      </c>
      <c r="B91" t="s">
        <v>205</v>
      </c>
      <c r="C91" t="s">
        <v>206</v>
      </c>
      <c r="D91" t="s">
        <v>43</v>
      </c>
      <c r="E91" t="s">
        <v>43</v>
      </c>
      <c r="F91">
        <v>2</v>
      </c>
      <c r="G91">
        <v>80</v>
      </c>
      <c r="H91">
        <v>160</v>
      </c>
      <c r="I91">
        <v>30</v>
      </c>
      <c r="J91">
        <v>60</v>
      </c>
      <c r="K91">
        <v>100</v>
      </c>
      <c r="L91" t="s">
        <v>29</v>
      </c>
      <c r="M91" t="s">
        <v>45</v>
      </c>
      <c r="N91" t="s">
        <v>51</v>
      </c>
      <c r="O91">
        <v>35.979999999999997</v>
      </c>
      <c r="P91">
        <v>34.11</v>
      </c>
      <c r="Q91">
        <v>17.46</v>
      </c>
      <c r="R91">
        <v>34.89</v>
      </c>
      <c r="S91">
        <v>1.8</v>
      </c>
      <c r="T91">
        <v>8.59</v>
      </c>
      <c r="U91">
        <v>1.64</v>
      </c>
      <c r="V91">
        <v>2.92</v>
      </c>
      <c r="W91">
        <v>-37.39</v>
      </c>
      <c r="X91" t="s">
        <v>57</v>
      </c>
      <c r="Y91" t="s">
        <v>33</v>
      </c>
    </row>
    <row r="92" spans="1:25" x14ac:dyDescent="0.3">
      <c r="A92">
        <v>91</v>
      </c>
      <c r="B92" t="s">
        <v>207</v>
      </c>
      <c r="C92" t="s">
        <v>208</v>
      </c>
      <c r="D92" t="s">
        <v>54</v>
      </c>
      <c r="E92" t="s">
        <v>28</v>
      </c>
      <c r="F92">
        <v>3</v>
      </c>
      <c r="G92">
        <v>120</v>
      </c>
      <c r="H92">
        <v>360</v>
      </c>
      <c r="I92">
        <v>50</v>
      </c>
      <c r="J92">
        <v>150</v>
      </c>
      <c r="K92">
        <v>210</v>
      </c>
      <c r="L92" t="s">
        <v>44</v>
      </c>
      <c r="M92" t="s">
        <v>63</v>
      </c>
      <c r="N92" t="s">
        <v>81</v>
      </c>
      <c r="O92">
        <v>11.97</v>
      </c>
      <c r="P92">
        <v>41.47</v>
      </c>
      <c r="Q92">
        <v>14.38</v>
      </c>
      <c r="R92">
        <v>6.32</v>
      </c>
      <c r="S92">
        <v>4.67</v>
      </c>
      <c r="T92">
        <v>9.2799999999999994</v>
      </c>
      <c r="U92">
        <v>2.78</v>
      </c>
      <c r="V92">
        <v>2.48</v>
      </c>
      <c r="W92">
        <v>116.65</v>
      </c>
      <c r="X92" t="s">
        <v>57</v>
      </c>
      <c r="Y92" t="s">
        <v>40</v>
      </c>
    </row>
    <row r="93" spans="1:25" x14ac:dyDescent="0.3">
      <c r="A93">
        <v>92</v>
      </c>
      <c r="B93" t="s">
        <v>209</v>
      </c>
      <c r="C93" t="s">
        <v>210</v>
      </c>
      <c r="D93" t="s">
        <v>109</v>
      </c>
      <c r="E93" t="s">
        <v>50</v>
      </c>
      <c r="F93">
        <v>2</v>
      </c>
      <c r="G93">
        <v>150</v>
      </c>
      <c r="H93">
        <v>300</v>
      </c>
      <c r="I93">
        <v>70</v>
      </c>
      <c r="J93">
        <v>140</v>
      </c>
      <c r="K93">
        <v>160</v>
      </c>
      <c r="L93" t="s">
        <v>86</v>
      </c>
      <c r="M93" t="s">
        <v>30</v>
      </c>
      <c r="N93" t="s">
        <v>31</v>
      </c>
      <c r="O93">
        <v>11.72</v>
      </c>
      <c r="P93">
        <v>19.559999999999999</v>
      </c>
      <c r="Q93">
        <v>16.34</v>
      </c>
      <c r="R93">
        <v>1.25</v>
      </c>
      <c r="S93">
        <v>2.36</v>
      </c>
      <c r="T93">
        <v>6.24</v>
      </c>
      <c r="U93">
        <v>1.82</v>
      </c>
      <c r="V93">
        <v>2.72</v>
      </c>
      <c r="W93">
        <v>97.99</v>
      </c>
      <c r="X93" t="s">
        <v>57</v>
      </c>
      <c r="Y93" t="s">
        <v>33</v>
      </c>
    </row>
    <row r="94" spans="1:25" x14ac:dyDescent="0.3">
      <c r="A94">
        <v>93</v>
      </c>
      <c r="B94" t="s">
        <v>211</v>
      </c>
      <c r="C94" t="s">
        <v>184</v>
      </c>
      <c r="D94" t="s">
        <v>27</v>
      </c>
      <c r="E94" t="s">
        <v>28</v>
      </c>
      <c r="F94">
        <v>1</v>
      </c>
      <c r="G94">
        <v>200</v>
      </c>
      <c r="H94">
        <v>200</v>
      </c>
      <c r="I94">
        <v>90</v>
      </c>
      <c r="J94">
        <v>90</v>
      </c>
      <c r="K94">
        <v>110</v>
      </c>
      <c r="L94" t="s">
        <v>29</v>
      </c>
      <c r="M94" t="s">
        <v>56</v>
      </c>
      <c r="N94" t="s">
        <v>46</v>
      </c>
      <c r="O94">
        <v>10.95</v>
      </c>
      <c r="P94">
        <v>25.08</v>
      </c>
      <c r="Q94">
        <v>5.62</v>
      </c>
      <c r="R94">
        <v>16.66</v>
      </c>
      <c r="S94">
        <v>1.35</v>
      </c>
      <c r="T94">
        <v>7.85</v>
      </c>
      <c r="U94">
        <v>1.65</v>
      </c>
      <c r="V94">
        <v>2.95</v>
      </c>
      <c r="W94">
        <v>37.89</v>
      </c>
      <c r="X94" t="s">
        <v>32</v>
      </c>
      <c r="Y94" t="s">
        <v>33</v>
      </c>
    </row>
    <row r="95" spans="1:25" x14ac:dyDescent="0.3">
      <c r="A95">
        <v>94</v>
      </c>
      <c r="B95" t="s">
        <v>166</v>
      </c>
      <c r="C95" t="s">
        <v>212</v>
      </c>
      <c r="D95" t="s">
        <v>49</v>
      </c>
      <c r="E95" t="s">
        <v>50</v>
      </c>
      <c r="F95">
        <v>3</v>
      </c>
      <c r="G95">
        <v>180</v>
      </c>
      <c r="H95">
        <v>540</v>
      </c>
      <c r="I95">
        <v>90</v>
      </c>
      <c r="J95">
        <v>270</v>
      </c>
      <c r="K95">
        <v>270</v>
      </c>
      <c r="L95" t="s">
        <v>55</v>
      </c>
      <c r="M95" t="s">
        <v>45</v>
      </c>
      <c r="N95" t="s">
        <v>90</v>
      </c>
      <c r="O95">
        <v>28.1</v>
      </c>
      <c r="P95">
        <v>43.76</v>
      </c>
      <c r="Q95">
        <v>5.99</v>
      </c>
      <c r="R95">
        <v>12.54</v>
      </c>
      <c r="S95">
        <v>2.77</v>
      </c>
      <c r="T95">
        <v>4.88</v>
      </c>
      <c r="U95">
        <v>4.32</v>
      </c>
      <c r="V95">
        <v>0.78</v>
      </c>
      <c r="W95">
        <v>166.86</v>
      </c>
      <c r="X95" t="s">
        <v>57</v>
      </c>
      <c r="Y95" t="s">
        <v>33</v>
      </c>
    </row>
    <row r="96" spans="1:25" x14ac:dyDescent="0.3">
      <c r="A96">
        <v>95</v>
      </c>
      <c r="B96" t="s">
        <v>41</v>
      </c>
      <c r="C96" t="s">
        <v>65</v>
      </c>
      <c r="D96" t="s">
        <v>43</v>
      </c>
      <c r="E96" t="s">
        <v>43</v>
      </c>
      <c r="F96">
        <v>2</v>
      </c>
      <c r="G96">
        <v>80</v>
      </c>
      <c r="H96">
        <v>160</v>
      </c>
      <c r="I96">
        <v>30</v>
      </c>
      <c r="J96">
        <v>60</v>
      </c>
      <c r="K96">
        <v>100</v>
      </c>
      <c r="L96" t="s">
        <v>86</v>
      </c>
      <c r="M96" t="s">
        <v>63</v>
      </c>
      <c r="N96" t="s">
        <v>51</v>
      </c>
      <c r="O96">
        <v>14.26</v>
      </c>
      <c r="P96">
        <v>28.91</v>
      </c>
      <c r="Q96">
        <v>14.41</v>
      </c>
      <c r="R96">
        <v>7.53</v>
      </c>
      <c r="S96">
        <v>1.6</v>
      </c>
      <c r="T96">
        <v>8.11</v>
      </c>
      <c r="U96">
        <v>2.38</v>
      </c>
      <c r="V96">
        <v>0.5</v>
      </c>
      <c r="W96">
        <v>22.3</v>
      </c>
      <c r="X96" t="s">
        <v>32</v>
      </c>
      <c r="Y96" t="s">
        <v>33</v>
      </c>
    </row>
    <row r="97" spans="1:25" x14ac:dyDescent="0.3">
      <c r="A97">
        <v>96</v>
      </c>
      <c r="B97" t="s">
        <v>213</v>
      </c>
      <c r="C97" t="s">
        <v>186</v>
      </c>
      <c r="D97" t="s">
        <v>89</v>
      </c>
      <c r="E97" t="s">
        <v>28</v>
      </c>
      <c r="F97">
        <v>3</v>
      </c>
      <c r="G97">
        <v>180</v>
      </c>
      <c r="H97">
        <v>540</v>
      </c>
      <c r="I97">
        <v>75</v>
      </c>
      <c r="J97">
        <v>225</v>
      </c>
      <c r="K97">
        <v>315</v>
      </c>
      <c r="L97" t="s">
        <v>37</v>
      </c>
      <c r="M97" t="s">
        <v>63</v>
      </c>
      <c r="N97" t="s">
        <v>39</v>
      </c>
      <c r="O97">
        <v>28.79</v>
      </c>
      <c r="P97">
        <v>23.33</v>
      </c>
      <c r="Q97">
        <v>18.27</v>
      </c>
      <c r="R97">
        <v>21.79</v>
      </c>
      <c r="S97">
        <v>2.8</v>
      </c>
      <c r="T97">
        <v>9.44</v>
      </c>
      <c r="U97">
        <v>7.12</v>
      </c>
      <c r="V97">
        <v>1.1299999999999999</v>
      </c>
      <c r="W97">
        <v>202.33</v>
      </c>
      <c r="X97" t="s">
        <v>32</v>
      </c>
      <c r="Y97" t="s">
        <v>40</v>
      </c>
    </row>
    <row r="98" spans="1:25" x14ac:dyDescent="0.3">
      <c r="A98">
        <v>97</v>
      </c>
      <c r="B98" t="s">
        <v>214</v>
      </c>
      <c r="C98" t="s">
        <v>136</v>
      </c>
      <c r="D98" t="s">
        <v>49</v>
      </c>
      <c r="E98" t="s">
        <v>50</v>
      </c>
      <c r="F98">
        <v>1</v>
      </c>
      <c r="G98">
        <v>180</v>
      </c>
      <c r="H98">
        <v>180</v>
      </c>
      <c r="I98">
        <v>90</v>
      </c>
      <c r="J98">
        <v>90</v>
      </c>
      <c r="K98">
        <v>90</v>
      </c>
      <c r="L98" t="s">
        <v>86</v>
      </c>
      <c r="M98" t="s">
        <v>45</v>
      </c>
      <c r="N98" t="s">
        <v>51</v>
      </c>
      <c r="O98">
        <v>11.58</v>
      </c>
      <c r="P98">
        <v>43.29</v>
      </c>
      <c r="Q98">
        <v>5.84</v>
      </c>
      <c r="R98">
        <v>25.58</v>
      </c>
      <c r="S98">
        <v>3.68</v>
      </c>
      <c r="T98">
        <v>6.01</v>
      </c>
      <c r="U98">
        <v>3.93</v>
      </c>
      <c r="V98">
        <v>0.34</v>
      </c>
      <c r="W98">
        <v>-10.25</v>
      </c>
      <c r="X98" t="s">
        <v>32</v>
      </c>
      <c r="Y98" t="s">
        <v>33</v>
      </c>
    </row>
    <row r="99" spans="1:25" x14ac:dyDescent="0.3">
      <c r="A99">
        <v>98</v>
      </c>
      <c r="B99" t="s">
        <v>215</v>
      </c>
      <c r="C99" t="s">
        <v>78</v>
      </c>
      <c r="D99" t="s">
        <v>54</v>
      </c>
      <c r="E99" t="s">
        <v>28</v>
      </c>
      <c r="F99">
        <v>4</v>
      </c>
      <c r="G99">
        <v>120</v>
      </c>
      <c r="H99">
        <v>480</v>
      </c>
      <c r="I99">
        <v>50</v>
      </c>
      <c r="J99">
        <v>200</v>
      </c>
      <c r="K99">
        <v>280</v>
      </c>
      <c r="L99" t="s">
        <v>44</v>
      </c>
      <c r="M99" t="s">
        <v>38</v>
      </c>
      <c r="N99" t="s">
        <v>81</v>
      </c>
      <c r="O99">
        <v>14.58</v>
      </c>
      <c r="P99">
        <v>49.64</v>
      </c>
      <c r="Q99">
        <v>6.27</v>
      </c>
      <c r="R99">
        <v>12.73</v>
      </c>
      <c r="S99">
        <v>0.44</v>
      </c>
      <c r="T99">
        <v>13.02</v>
      </c>
      <c r="U99">
        <v>5.96</v>
      </c>
      <c r="V99">
        <v>1.0900000000000001</v>
      </c>
      <c r="W99">
        <v>176.27</v>
      </c>
      <c r="X99" t="s">
        <v>32</v>
      </c>
      <c r="Y99" t="s">
        <v>33</v>
      </c>
    </row>
    <row r="100" spans="1:25" x14ac:dyDescent="0.3">
      <c r="A100">
        <v>99</v>
      </c>
      <c r="B100" t="s">
        <v>216</v>
      </c>
      <c r="C100" t="s">
        <v>217</v>
      </c>
      <c r="D100" t="s">
        <v>89</v>
      </c>
      <c r="E100" t="s">
        <v>28</v>
      </c>
      <c r="F100">
        <v>4</v>
      </c>
      <c r="G100">
        <v>180</v>
      </c>
      <c r="H100">
        <v>720</v>
      </c>
      <c r="I100">
        <v>75</v>
      </c>
      <c r="J100">
        <v>300</v>
      </c>
      <c r="K100">
        <v>420</v>
      </c>
      <c r="L100" t="s">
        <v>44</v>
      </c>
      <c r="M100" t="s">
        <v>56</v>
      </c>
      <c r="N100" t="s">
        <v>31</v>
      </c>
      <c r="O100">
        <v>36.229999999999997</v>
      </c>
      <c r="P100">
        <v>47.57</v>
      </c>
      <c r="Q100">
        <v>8.2899999999999991</v>
      </c>
      <c r="R100">
        <v>6.5</v>
      </c>
      <c r="S100">
        <v>1.66</v>
      </c>
      <c r="T100">
        <v>6.28</v>
      </c>
      <c r="U100">
        <v>3.02</v>
      </c>
      <c r="V100">
        <v>0.64</v>
      </c>
      <c r="W100">
        <v>309.81</v>
      </c>
      <c r="X100" t="s">
        <v>32</v>
      </c>
      <c r="Y100" t="s">
        <v>40</v>
      </c>
    </row>
    <row r="101" spans="1:25" x14ac:dyDescent="0.3">
      <c r="A101">
        <v>100</v>
      </c>
      <c r="B101" t="s">
        <v>205</v>
      </c>
      <c r="C101" t="s">
        <v>218</v>
      </c>
      <c r="D101" t="s">
        <v>62</v>
      </c>
      <c r="E101" t="s">
        <v>28</v>
      </c>
      <c r="F101">
        <v>1</v>
      </c>
      <c r="G101">
        <v>250</v>
      </c>
      <c r="H101">
        <v>250</v>
      </c>
      <c r="I101">
        <v>110</v>
      </c>
      <c r="J101">
        <v>110</v>
      </c>
      <c r="K101">
        <v>140</v>
      </c>
      <c r="L101" t="s">
        <v>86</v>
      </c>
      <c r="M101" t="s">
        <v>45</v>
      </c>
      <c r="N101" t="s">
        <v>46</v>
      </c>
      <c r="O101">
        <v>12.74</v>
      </c>
      <c r="P101">
        <v>54.38</v>
      </c>
      <c r="Q101">
        <v>6.8</v>
      </c>
      <c r="R101">
        <v>28.22</v>
      </c>
      <c r="S101">
        <v>1.0900000000000001</v>
      </c>
      <c r="T101">
        <v>7.46</v>
      </c>
      <c r="U101">
        <v>7.55</v>
      </c>
      <c r="V101">
        <v>0.53</v>
      </c>
      <c r="W101">
        <v>21.23</v>
      </c>
      <c r="X101" t="s">
        <v>66</v>
      </c>
      <c r="Y101" t="s">
        <v>40</v>
      </c>
    </row>
    <row r="102" spans="1:25" x14ac:dyDescent="0.3">
      <c r="A102">
        <v>101</v>
      </c>
      <c r="B102" t="s">
        <v>219</v>
      </c>
      <c r="C102" t="s">
        <v>220</v>
      </c>
      <c r="D102" t="s">
        <v>89</v>
      </c>
      <c r="E102" t="s">
        <v>28</v>
      </c>
      <c r="F102">
        <v>2</v>
      </c>
      <c r="G102">
        <v>180</v>
      </c>
      <c r="H102">
        <v>360</v>
      </c>
      <c r="I102">
        <v>75</v>
      </c>
      <c r="J102">
        <v>150</v>
      </c>
      <c r="K102">
        <v>210</v>
      </c>
      <c r="L102" t="s">
        <v>86</v>
      </c>
      <c r="M102" t="s">
        <v>45</v>
      </c>
      <c r="N102" t="s">
        <v>51</v>
      </c>
      <c r="O102">
        <v>23.12</v>
      </c>
      <c r="P102">
        <v>27.17</v>
      </c>
      <c r="Q102">
        <v>5.01</v>
      </c>
      <c r="R102">
        <v>30.86</v>
      </c>
      <c r="S102">
        <v>2.08</v>
      </c>
      <c r="T102">
        <v>7.72</v>
      </c>
      <c r="U102">
        <v>2.35</v>
      </c>
      <c r="V102">
        <v>2.78</v>
      </c>
      <c r="W102">
        <v>108.91</v>
      </c>
      <c r="X102" t="s">
        <v>57</v>
      </c>
      <c r="Y102" t="s">
        <v>33</v>
      </c>
    </row>
    <row r="103" spans="1:25" x14ac:dyDescent="0.3">
      <c r="A103">
        <v>102</v>
      </c>
      <c r="B103" t="s">
        <v>221</v>
      </c>
      <c r="C103" t="s">
        <v>222</v>
      </c>
      <c r="D103" t="s">
        <v>62</v>
      </c>
      <c r="E103" t="s">
        <v>28</v>
      </c>
      <c r="F103">
        <v>1</v>
      </c>
      <c r="G103">
        <v>250</v>
      </c>
      <c r="H103">
        <v>250</v>
      </c>
      <c r="I103">
        <v>110</v>
      </c>
      <c r="J103">
        <v>110</v>
      </c>
      <c r="K103">
        <v>140</v>
      </c>
      <c r="L103" t="s">
        <v>86</v>
      </c>
      <c r="M103" t="s">
        <v>63</v>
      </c>
      <c r="N103" t="s">
        <v>51</v>
      </c>
      <c r="O103">
        <v>28.52</v>
      </c>
      <c r="P103">
        <v>51.64</v>
      </c>
      <c r="Q103">
        <v>15.75</v>
      </c>
      <c r="R103">
        <v>17.71</v>
      </c>
      <c r="S103">
        <v>0.17</v>
      </c>
      <c r="T103">
        <v>3.25</v>
      </c>
      <c r="U103">
        <v>2.79</v>
      </c>
      <c r="V103">
        <v>0.62</v>
      </c>
      <c r="W103">
        <v>19.55</v>
      </c>
      <c r="X103" t="s">
        <v>66</v>
      </c>
      <c r="Y103" t="s">
        <v>40</v>
      </c>
    </row>
    <row r="104" spans="1:25" x14ac:dyDescent="0.3">
      <c r="A104">
        <v>103</v>
      </c>
      <c r="B104" t="s">
        <v>214</v>
      </c>
      <c r="C104" t="s">
        <v>223</v>
      </c>
      <c r="D104" t="s">
        <v>54</v>
      </c>
      <c r="E104" t="s">
        <v>28</v>
      </c>
      <c r="F104">
        <v>3</v>
      </c>
      <c r="G104">
        <v>120</v>
      </c>
      <c r="H104">
        <v>360</v>
      </c>
      <c r="I104">
        <v>50</v>
      </c>
      <c r="J104">
        <v>150</v>
      </c>
      <c r="K104">
        <v>210</v>
      </c>
      <c r="L104" t="s">
        <v>37</v>
      </c>
      <c r="M104" t="s">
        <v>56</v>
      </c>
      <c r="N104" t="s">
        <v>90</v>
      </c>
      <c r="O104">
        <v>15.13</v>
      </c>
      <c r="P104">
        <v>32.36</v>
      </c>
      <c r="Q104">
        <v>13.04</v>
      </c>
      <c r="R104">
        <v>34.200000000000003</v>
      </c>
      <c r="S104">
        <v>4.99</v>
      </c>
      <c r="T104">
        <v>8.57</v>
      </c>
      <c r="U104">
        <v>7.5</v>
      </c>
      <c r="V104">
        <v>2.59</v>
      </c>
      <c r="W104">
        <v>91.62</v>
      </c>
      <c r="X104" t="s">
        <v>66</v>
      </c>
      <c r="Y104" t="s">
        <v>40</v>
      </c>
    </row>
    <row r="105" spans="1:25" x14ac:dyDescent="0.3">
      <c r="A105">
        <v>104</v>
      </c>
      <c r="B105" t="s">
        <v>193</v>
      </c>
      <c r="C105" t="s">
        <v>224</v>
      </c>
      <c r="D105" t="s">
        <v>109</v>
      </c>
      <c r="E105" t="s">
        <v>50</v>
      </c>
      <c r="F105">
        <v>4</v>
      </c>
      <c r="G105">
        <v>150</v>
      </c>
      <c r="H105">
        <v>600</v>
      </c>
      <c r="I105">
        <v>70</v>
      </c>
      <c r="J105">
        <v>280</v>
      </c>
      <c r="K105">
        <v>320</v>
      </c>
      <c r="L105" t="s">
        <v>37</v>
      </c>
      <c r="M105" t="s">
        <v>63</v>
      </c>
      <c r="N105" t="s">
        <v>51</v>
      </c>
      <c r="O105">
        <v>29.6</v>
      </c>
      <c r="P105">
        <v>47.82</v>
      </c>
      <c r="Q105">
        <v>13.22</v>
      </c>
      <c r="R105">
        <v>27.76</v>
      </c>
      <c r="S105">
        <v>1.91</v>
      </c>
      <c r="T105">
        <v>3.2</v>
      </c>
      <c r="U105">
        <v>7.21</v>
      </c>
      <c r="V105">
        <v>2.62</v>
      </c>
      <c r="W105">
        <v>186.66</v>
      </c>
      <c r="X105" t="s">
        <v>32</v>
      </c>
      <c r="Y105" t="s">
        <v>33</v>
      </c>
    </row>
    <row r="106" spans="1:25" x14ac:dyDescent="0.3">
      <c r="A106">
        <v>105</v>
      </c>
      <c r="B106" t="s">
        <v>225</v>
      </c>
      <c r="C106" t="s">
        <v>226</v>
      </c>
      <c r="D106" t="s">
        <v>36</v>
      </c>
      <c r="E106" t="s">
        <v>28</v>
      </c>
      <c r="F106">
        <v>3</v>
      </c>
      <c r="G106">
        <v>220</v>
      </c>
      <c r="H106">
        <v>660</v>
      </c>
      <c r="I106">
        <v>100</v>
      </c>
      <c r="J106">
        <v>300</v>
      </c>
      <c r="K106">
        <v>360</v>
      </c>
      <c r="L106" t="s">
        <v>37</v>
      </c>
      <c r="M106" t="s">
        <v>38</v>
      </c>
      <c r="N106" t="s">
        <v>31</v>
      </c>
      <c r="O106">
        <v>33.35</v>
      </c>
      <c r="P106">
        <v>42.37</v>
      </c>
      <c r="Q106">
        <v>10.67</v>
      </c>
      <c r="R106">
        <v>31.75</v>
      </c>
      <c r="S106">
        <v>4.7699999999999996</v>
      </c>
      <c r="T106">
        <v>10.54</v>
      </c>
      <c r="U106">
        <v>2.44</v>
      </c>
      <c r="V106">
        <v>1.19</v>
      </c>
      <c r="W106">
        <v>222.92</v>
      </c>
      <c r="X106" t="s">
        <v>57</v>
      </c>
      <c r="Y106" t="s">
        <v>40</v>
      </c>
    </row>
    <row r="107" spans="1:25" x14ac:dyDescent="0.3">
      <c r="A107">
        <v>106</v>
      </c>
      <c r="B107" t="s">
        <v>227</v>
      </c>
      <c r="C107" t="s">
        <v>228</v>
      </c>
      <c r="D107" t="s">
        <v>36</v>
      </c>
      <c r="E107" t="s">
        <v>28</v>
      </c>
      <c r="F107">
        <v>1</v>
      </c>
      <c r="G107">
        <v>220</v>
      </c>
      <c r="H107">
        <v>220</v>
      </c>
      <c r="I107">
        <v>100</v>
      </c>
      <c r="J107">
        <v>100</v>
      </c>
      <c r="K107">
        <v>120</v>
      </c>
      <c r="L107" t="s">
        <v>44</v>
      </c>
      <c r="M107" t="s">
        <v>56</v>
      </c>
      <c r="N107" t="s">
        <v>90</v>
      </c>
      <c r="O107">
        <v>29.5</v>
      </c>
      <c r="P107">
        <v>56.8</v>
      </c>
      <c r="Q107">
        <v>19</v>
      </c>
      <c r="R107">
        <v>4.95</v>
      </c>
      <c r="S107">
        <v>1.55</v>
      </c>
      <c r="T107">
        <v>2.1800000000000002</v>
      </c>
      <c r="U107">
        <v>7.22</v>
      </c>
      <c r="V107">
        <v>2.11</v>
      </c>
      <c r="W107">
        <v>-3.31</v>
      </c>
      <c r="X107" t="s">
        <v>32</v>
      </c>
      <c r="Y107" t="s">
        <v>40</v>
      </c>
    </row>
    <row r="108" spans="1:25" x14ac:dyDescent="0.3">
      <c r="A108">
        <v>107</v>
      </c>
      <c r="B108" t="s">
        <v>229</v>
      </c>
      <c r="C108" t="s">
        <v>230</v>
      </c>
      <c r="D108" t="s">
        <v>54</v>
      </c>
      <c r="E108" t="s">
        <v>28</v>
      </c>
      <c r="F108">
        <v>2</v>
      </c>
      <c r="G108">
        <v>120</v>
      </c>
      <c r="H108">
        <v>240</v>
      </c>
      <c r="I108">
        <v>50</v>
      </c>
      <c r="J108">
        <v>100</v>
      </c>
      <c r="K108">
        <v>140</v>
      </c>
      <c r="L108" t="s">
        <v>37</v>
      </c>
      <c r="M108" t="s">
        <v>38</v>
      </c>
      <c r="N108" t="s">
        <v>51</v>
      </c>
      <c r="O108">
        <v>24.23</v>
      </c>
      <c r="P108">
        <v>28.41</v>
      </c>
      <c r="Q108">
        <v>6.6</v>
      </c>
      <c r="R108">
        <v>6.15</v>
      </c>
      <c r="S108">
        <v>3.6</v>
      </c>
      <c r="T108">
        <v>5.67</v>
      </c>
      <c r="U108">
        <v>6.41</v>
      </c>
      <c r="V108">
        <v>1.4</v>
      </c>
      <c r="W108">
        <v>57.53</v>
      </c>
      <c r="X108" t="s">
        <v>32</v>
      </c>
      <c r="Y108" t="s">
        <v>33</v>
      </c>
    </row>
    <row r="109" spans="1:25" x14ac:dyDescent="0.3">
      <c r="A109">
        <v>108</v>
      </c>
      <c r="B109" t="s">
        <v>231</v>
      </c>
      <c r="C109" t="s">
        <v>232</v>
      </c>
      <c r="D109" t="s">
        <v>43</v>
      </c>
      <c r="E109" t="s">
        <v>43</v>
      </c>
      <c r="F109">
        <v>1</v>
      </c>
      <c r="G109">
        <v>80</v>
      </c>
      <c r="H109">
        <v>80</v>
      </c>
      <c r="I109">
        <v>30</v>
      </c>
      <c r="J109">
        <v>30</v>
      </c>
      <c r="K109">
        <v>50</v>
      </c>
      <c r="L109" t="s">
        <v>29</v>
      </c>
      <c r="M109" t="s">
        <v>63</v>
      </c>
      <c r="N109" t="s">
        <v>31</v>
      </c>
      <c r="O109">
        <v>34.299999999999997</v>
      </c>
      <c r="P109">
        <v>34.200000000000003</v>
      </c>
      <c r="Q109">
        <v>5.64</v>
      </c>
      <c r="R109">
        <v>4.13</v>
      </c>
      <c r="S109">
        <v>3.44</v>
      </c>
      <c r="T109">
        <v>9.1999999999999993</v>
      </c>
      <c r="U109">
        <v>6.69</v>
      </c>
      <c r="V109">
        <v>1.32</v>
      </c>
      <c r="W109">
        <v>-48.92</v>
      </c>
      <c r="X109" t="s">
        <v>32</v>
      </c>
      <c r="Y109" t="s">
        <v>40</v>
      </c>
    </row>
    <row r="110" spans="1:25" x14ac:dyDescent="0.3">
      <c r="A110">
        <v>109</v>
      </c>
      <c r="B110" t="s">
        <v>233</v>
      </c>
      <c r="C110" t="s">
        <v>116</v>
      </c>
      <c r="D110" t="s">
        <v>89</v>
      </c>
      <c r="E110" t="s">
        <v>28</v>
      </c>
      <c r="F110">
        <v>4</v>
      </c>
      <c r="G110">
        <v>180</v>
      </c>
      <c r="H110">
        <v>720</v>
      </c>
      <c r="I110">
        <v>75</v>
      </c>
      <c r="J110">
        <v>300</v>
      </c>
      <c r="K110">
        <v>420</v>
      </c>
      <c r="L110" t="s">
        <v>86</v>
      </c>
      <c r="M110" t="s">
        <v>30</v>
      </c>
      <c r="N110" t="s">
        <v>51</v>
      </c>
      <c r="O110">
        <v>21.15</v>
      </c>
      <c r="P110">
        <v>21.85</v>
      </c>
      <c r="Q110">
        <v>13.22</v>
      </c>
      <c r="R110">
        <v>1.1000000000000001</v>
      </c>
      <c r="S110">
        <v>1.05</v>
      </c>
      <c r="T110">
        <v>5.56</v>
      </c>
      <c r="U110">
        <v>5.82</v>
      </c>
      <c r="V110">
        <v>2.88</v>
      </c>
      <c r="W110">
        <v>347.37</v>
      </c>
      <c r="X110" t="s">
        <v>32</v>
      </c>
      <c r="Y110" t="s">
        <v>33</v>
      </c>
    </row>
    <row r="111" spans="1:25" x14ac:dyDescent="0.3">
      <c r="A111">
        <v>110</v>
      </c>
      <c r="B111" t="s">
        <v>79</v>
      </c>
      <c r="C111" t="s">
        <v>234</v>
      </c>
      <c r="D111" t="s">
        <v>109</v>
      </c>
      <c r="E111" t="s">
        <v>50</v>
      </c>
      <c r="F111">
        <v>4</v>
      </c>
      <c r="G111">
        <v>150</v>
      </c>
      <c r="H111">
        <v>600</v>
      </c>
      <c r="I111">
        <v>70</v>
      </c>
      <c r="J111">
        <v>280</v>
      </c>
      <c r="K111">
        <v>320</v>
      </c>
      <c r="L111" t="s">
        <v>55</v>
      </c>
      <c r="M111" t="s">
        <v>45</v>
      </c>
      <c r="N111" t="s">
        <v>51</v>
      </c>
      <c r="O111">
        <v>10.15</v>
      </c>
      <c r="P111">
        <v>19.149999999999999</v>
      </c>
      <c r="Q111">
        <v>14.55</v>
      </c>
      <c r="R111">
        <v>1.44</v>
      </c>
      <c r="S111">
        <v>4.5199999999999996</v>
      </c>
      <c r="T111">
        <v>12.65</v>
      </c>
      <c r="U111">
        <v>2.38</v>
      </c>
      <c r="V111">
        <v>0.45</v>
      </c>
      <c r="W111">
        <v>254.71</v>
      </c>
      <c r="X111" t="s">
        <v>32</v>
      </c>
      <c r="Y111" t="s">
        <v>33</v>
      </c>
    </row>
    <row r="112" spans="1:25" x14ac:dyDescent="0.3">
      <c r="A112">
        <v>111</v>
      </c>
      <c r="B112" t="s">
        <v>168</v>
      </c>
      <c r="C112" t="s">
        <v>235</v>
      </c>
      <c r="D112" t="s">
        <v>27</v>
      </c>
      <c r="E112" t="s">
        <v>28</v>
      </c>
      <c r="F112">
        <v>4</v>
      </c>
      <c r="G112">
        <v>200</v>
      </c>
      <c r="H112">
        <v>800</v>
      </c>
      <c r="I112">
        <v>90</v>
      </c>
      <c r="J112">
        <v>360</v>
      </c>
      <c r="K112">
        <v>440</v>
      </c>
      <c r="L112" t="s">
        <v>55</v>
      </c>
      <c r="M112" t="s">
        <v>30</v>
      </c>
      <c r="N112" t="s">
        <v>46</v>
      </c>
      <c r="O112">
        <v>31.84</v>
      </c>
      <c r="P112">
        <v>55.01</v>
      </c>
      <c r="Q112">
        <v>8.6199999999999992</v>
      </c>
      <c r="R112">
        <v>1.19</v>
      </c>
      <c r="S112">
        <v>4.17</v>
      </c>
      <c r="T112">
        <v>14.13</v>
      </c>
      <c r="U112">
        <v>2.91</v>
      </c>
      <c r="V112">
        <v>1.68</v>
      </c>
      <c r="W112">
        <v>320.45</v>
      </c>
      <c r="X112" t="s">
        <v>57</v>
      </c>
      <c r="Y112" t="s">
        <v>33</v>
      </c>
    </row>
    <row r="113" spans="1:25" x14ac:dyDescent="0.3">
      <c r="A113">
        <v>112</v>
      </c>
      <c r="B113" t="s">
        <v>236</v>
      </c>
      <c r="C113" t="s">
        <v>237</v>
      </c>
      <c r="D113" t="s">
        <v>43</v>
      </c>
      <c r="E113" t="s">
        <v>43</v>
      </c>
      <c r="F113">
        <v>2</v>
      </c>
      <c r="G113">
        <v>80</v>
      </c>
      <c r="H113">
        <v>160</v>
      </c>
      <c r="I113">
        <v>30</v>
      </c>
      <c r="J113">
        <v>60</v>
      </c>
      <c r="K113">
        <v>100</v>
      </c>
      <c r="L113" t="s">
        <v>37</v>
      </c>
      <c r="M113" t="s">
        <v>63</v>
      </c>
      <c r="N113" t="s">
        <v>51</v>
      </c>
      <c r="O113">
        <v>17.89</v>
      </c>
      <c r="P113">
        <v>50.52</v>
      </c>
      <c r="Q113">
        <v>13.58</v>
      </c>
      <c r="R113">
        <v>30.51</v>
      </c>
      <c r="S113">
        <v>3.75</v>
      </c>
      <c r="T113">
        <v>2.71</v>
      </c>
      <c r="U113">
        <v>2.06</v>
      </c>
      <c r="V113">
        <v>1.5</v>
      </c>
      <c r="W113">
        <v>-22.52</v>
      </c>
      <c r="X113" t="s">
        <v>66</v>
      </c>
      <c r="Y113" t="s">
        <v>33</v>
      </c>
    </row>
    <row r="114" spans="1:25" x14ac:dyDescent="0.3">
      <c r="A114">
        <v>113</v>
      </c>
      <c r="B114" t="s">
        <v>238</v>
      </c>
      <c r="C114" t="s">
        <v>239</v>
      </c>
      <c r="D114" t="s">
        <v>89</v>
      </c>
      <c r="E114" t="s">
        <v>28</v>
      </c>
      <c r="F114">
        <v>1</v>
      </c>
      <c r="G114">
        <v>180</v>
      </c>
      <c r="H114">
        <v>180</v>
      </c>
      <c r="I114">
        <v>75</v>
      </c>
      <c r="J114">
        <v>75</v>
      </c>
      <c r="K114">
        <v>105</v>
      </c>
      <c r="L114" t="s">
        <v>86</v>
      </c>
      <c r="M114" t="s">
        <v>56</v>
      </c>
      <c r="N114" t="s">
        <v>81</v>
      </c>
      <c r="O114">
        <v>15.3</v>
      </c>
      <c r="P114">
        <v>44.38</v>
      </c>
      <c r="Q114">
        <v>7.67</v>
      </c>
      <c r="R114">
        <v>1.1299999999999999</v>
      </c>
      <c r="S114">
        <v>0.79</v>
      </c>
      <c r="T114">
        <v>7.78</v>
      </c>
      <c r="U114">
        <v>2.19</v>
      </c>
      <c r="V114">
        <v>0.36</v>
      </c>
      <c r="W114">
        <v>25.4</v>
      </c>
      <c r="X114" t="s">
        <v>32</v>
      </c>
      <c r="Y114" t="s">
        <v>33</v>
      </c>
    </row>
    <row r="115" spans="1:25" x14ac:dyDescent="0.3">
      <c r="A115">
        <v>114</v>
      </c>
      <c r="B115" t="s">
        <v>240</v>
      </c>
      <c r="C115" t="s">
        <v>241</v>
      </c>
      <c r="D115" t="s">
        <v>54</v>
      </c>
      <c r="E115" t="s">
        <v>28</v>
      </c>
      <c r="F115">
        <v>3</v>
      </c>
      <c r="G115">
        <v>120</v>
      </c>
      <c r="H115">
        <v>360</v>
      </c>
      <c r="I115">
        <v>50</v>
      </c>
      <c r="J115">
        <v>150</v>
      </c>
      <c r="K115">
        <v>210</v>
      </c>
      <c r="L115" t="s">
        <v>55</v>
      </c>
      <c r="M115" t="s">
        <v>56</v>
      </c>
      <c r="N115" t="s">
        <v>39</v>
      </c>
      <c r="O115">
        <v>27.83</v>
      </c>
      <c r="P115">
        <v>35.31</v>
      </c>
      <c r="Q115">
        <v>10.119999999999999</v>
      </c>
      <c r="R115">
        <v>23.09</v>
      </c>
      <c r="S115">
        <v>0.85</v>
      </c>
      <c r="T115">
        <v>13.82</v>
      </c>
      <c r="U115">
        <v>5.65</v>
      </c>
      <c r="V115">
        <v>0.13</v>
      </c>
      <c r="W115">
        <v>93.2</v>
      </c>
      <c r="X115" t="s">
        <v>57</v>
      </c>
      <c r="Y115" t="s">
        <v>40</v>
      </c>
    </row>
    <row r="116" spans="1:25" x14ac:dyDescent="0.3">
      <c r="A116">
        <v>115</v>
      </c>
      <c r="B116" t="s">
        <v>126</v>
      </c>
      <c r="C116" t="s">
        <v>242</v>
      </c>
      <c r="D116" t="s">
        <v>49</v>
      </c>
      <c r="E116" t="s">
        <v>50</v>
      </c>
      <c r="F116">
        <v>1</v>
      </c>
      <c r="G116">
        <v>180</v>
      </c>
      <c r="H116">
        <v>180</v>
      </c>
      <c r="I116">
        <v>90</v>
      </c>
      <c r="J116">
        <v>90</v>
      </c>
      <c r="K116">
        <v>90</v>
      </c>
      <c r="L116" t="s">
        <v>55</v>
      </c>
      <c r="M116" t="s">
        <v>56</v>
      </c>
      <c r="N116" t="s">
        <v>31</v>
      </c>
      <c r="O116">
        <v>36.49</v>
      </c>
      <c r="P116">
        <v>35.46</v>
      </c>
      <c r="Q116">
        <v>9.52</v>
      </c>
      <c r="R116">
        <v>10.92</v>
      </c>
      <c r="S116">
        <v>0.52</v>
      </c>
      <c r="T116">
        <v>10.029999999999999</v>
      </c>
      <c r="U116">
        <v>4.1100000000000003</v>
      </c>
      <c r="V116">
        <v>1.0900000000000001</v>
      </c>
      <c r="W116">
        <v>-18.14</v>
      </c>
      <c r="X116" t="s">
        <v>66</v>
      </c>
      <c r="Y116" t="s">
        <v>40</v>
      </c>
    </row>
    <row r="117" spans="1:25" x14ac:dyDescent="0.3">
      <c r="A117">
        <v>116</v>
      </c>
      <c r="B117" t="s">
        <v>225</v>
      </c>
      <c r="C117" t="s">
        <v>26</v>
      </c>
      <c r="D117" t="s">
        <v>109</v>
      </c>
      <c r="E117" t="s">
        <v>50</v>
      </c>
      <c r="F117">
        <v>2</v>
      </c>
      <c r="G117">
        <v>150</v>
      </c>
      <c r="H117">
        <v>300</v>
      </c>
      <c r="I117">
        <v>70</v>
      </c>
      <c r="J117">
        <v>140</v>
      </c>
      <c r="K117">
        <v>160</v>
      </c>
      <c r="L117" t="s">
        <v>29</v>
      </c>
      <c r="M117" t="s">
        <v>56</v>
      </c>
      <c r="N117" t="s">
        <v>51</v>
      </c>
      <c r="O117">
        <v>29.56</v>
      </c>
      <c r="P117">
        <v>17.96</v>
      </c>
      <c r="Q117">
        <v>8.0299999999999994</v>
      </c>
      <c r="R117">
        <v>0.22</v>
      </c>
      <c r="S117">
        <v>4.3499999999999996</v>
      </c>
      <c r="T117">
        <v>4.0199999999999996</v>
      </c>
      <c r="U117">
        <v>1.99</v>
      </c>
      <c r="V117">
        <v>1.8</v>
      </c>
      <c r="W117">
        <v>92.07</v>
      </c>
      <c r="X117" t="s">
        <v>66</v>
      </c>
      <c r="Y117" t="s">
        <v>40</v>
      </c>
    </row>
    <row r="118" spans="1:25" x14ac:dyDescent="0.3">
      <c r="A118">
        <v>117</v>
      </c>
      <c r="B118" t="s">
        <v>243</v>
      </c>
      <c r="C118" t="s">
        <v>244</v>
      </c>
      <c r="D118" t="s">
        <v>54</v>
      </c>
      <c r="E118" t="s">
        <v>28</v>
      </c>
      <c r="F118">
        <v>4</v>
      </c>
      <c r="G118">
        <v>120</v>
      </c>
      <c r="H118">
        <v>480</v>
      </c>
      <c r="I118">
        <v>50</v>
      </c>
      <c r="J118">
        <v>200</v>
      </c>
      <c r="K118">
        <v>280</v>
      </c>
      <c r="L118" t="s">
        <v>29</v>
      </c>
      <c r="M118" t="s">
        <v>63</v>
      </c>
      <c r="N118" t="s">
        <v>81</v>
      </c>
      <c r="O118">
        <v>20.420000000000002</v>
      </c>
      <c r="P118">
        <v>18.89</v>
      </c>
      <c r="Q118">
        <v>8.85</v>
      </c>
      <c r="R118">
        <v>3.35</v>
      </c>
      <c r="S118">
        <v>1.93</v>
      </c>
      <c r="T118">
        <v>10.029999999999999</v>
      </c>
      <c r="U118">
        <v>2.79</v>
      </c>
      <c r="V118">
        <v>0.92</v>
      </c>
      <c r="W118">
        <v>212.82</v>
      </c>
      <c r="X118" t="s">
        <v>32</v>
      </c>
      <c r="Y118" t="s">
        <v>33</v>
      </c>
    </row>
    <row r="119" spans="1:25" x14ac:dyDescent="0.3">
      <c r="A119">
        <v>118</v>
      </c>
      <c r="B119" t="s">
        <v>245</v>
      </c>
      <c r="C119" t="s">
        <v>246</v>
      </c>
      <c r="D119" t="s">
        <v>89</v>
      </c>
      <c r="E119" t="s">
        <v>28</v>
      </c>
      <c r="F119">
        <v>3</v>
      </c>
      <c r="G119">
        <v>180</v>
      </c>
      <c r="H119">
        <v>540</v>
      </c>
      <c r="I119">
        <v>75</v>
      </c>
      <c r="J119">
        <v>225</v>
      </c>
      <c r="K119">
        <v>315</v>
      </c>
      <c r="L119" t="s">
        <v>29</v>
      </c>
      <c r="M119" t="s">
        <v>38</v>
      </c>
      <c r="N119" t="s">
        <v>31</v>
      </c>
      <c r="O119">
        <v>23.74</v>
      </c>
      <c r="P119">
        <v>38.76</v>
      </c>
      <c r="Q119">
        <v>5.38</v>
      </c>
      <c r="R119">
        <v>4.76</v>
      </c>
      <c r="S119">
        <v>0.69</v>
      </c>
      <c r="T119">
        <v>8.44</v>
      </c>
      <c r="U119">
        <v>4.2699999999999996</v>
      </c>
      <c r="V119">
        <v>0.93</v>
      </c>
      <c r="W119">
        <v>228.03</v>
      </c>
      <c r="X119" t="s">
        <v>32</v>
      </c>
      <c r="Y119" t="s">
        <v>40</v>
      </c>
    </row>
    <row r="120" spans="1:25" x14ac:dyDescent="0.3">
      <c r="A120">
        <v>119</v>
      </c>
      <c r="B120" t="s">
        <v>247</v>
      </c>
      <c r="C120" t="s">
        <v>248</v>
      </c>
      <c r="D120" t="s">
        <v>27</v>
      </c>
      <c r="E120" t="s">
        <v>28</v>
      </c>
      <c r="F120">
        <v>2</v>
      </c>
      <c r="G120">
        <v>200</v>
      </c>
      <c r="H120">
        <v>400</v>
      </c>
      <c r="I120">
        <v>90</v>
      </c>
      <c r="J120">
        <v>180</v>
      </c>
      <c r="K120">
        <v>220</v>
      </c>
      <c r="L120" t="s">
        <v>37</v>
      </c>
      <c r="M120" t="s">
        <v>30</v>
      </c>
      <c r="N120" t="s">
        <v>46</v>
      </c>
      <c r="O120">
        <v>30.23</v>
      </c>
      <c r="P120">
        <v>53.42</v>
      </c>
      <c r="Q120">
        <v>9.2799999999999994</v>
      </c>
      <c r="R120">
        <v>4.99</v>
      </c>
      <c r="S120">
        <v>4.28</v>
      </c>
      <c r="T120">
        <v>3.11</v>
      </c>
      <c r="U120">
        <v>6.54</v>
      </c>
      <c r="V120">
        <v>1.61</v>
      </c>
      <c r="W120">
        <v>106.54</v>
      </c>
      <c r="X120" t="s">
        <v>32</v>
      </c>
      <c r="Y120" t="s">
        <v>40</v>
      </c>
    </row>
    <row r="121" spans="1:25" x14ac:dyDescent="0.3">
      <c r="A121">
        <v>120</v>
      </c>
      <c r="B121" t="s">
        <v>249</v>
      </c>
      <c r="C121" t="s">
        <v>250</v>
      </c>
      <c r="D121" t="s">
        <v>43</v>
      </c>
      <c r="E121" t="s">
        <v>43</v>
      </c>
      <c r="F121">
        <v>4</v>
      </c>
      <c r="G121">
        <v>80</v>
      </c>
      <c r="H121">
        <v>320</v>
      </c>
      <c r="I121">
        <v>30</v>
      </c>
      <c r="J121">
        <v>120</v>
      </c>
      <c r="K121">
        <v>200</v>
      </c>
      <c r="L121" t="s">
        <v>37</v>
      </c>
      <c r="M121" t="s">
        <v>56</v>
      </c>
      <c r="N121" t="s">
        <v>90</v>
      </c>
      <c r="O121">
        <v>28.18</v>
      </c>
      <c r="P121">
        <v>49.05</v>
      </c>
      <c r="Q121">
        <v>6.18</v>
      </c>
      <c r="R121">
        <v>30.5</v>
      </c>
      <c r="S121">
        <v>4.84</v>
      </c>
      <c r="T121">
        <v>2.58</v>
      </c>
      <c r="U121">
        <v>7.37</v>
      </c>
      <c r="V121">
        <v>0.56000000000000005</v>
      </c>
      <c r="W121">
        <v>70.739999999999995</v>
      </c>
      <c r="X121" t="s">
        <v>66</v>
      </c>
      <c r="Y121" t="s">
        <v>33</v>
      </c>
    </row>
    <row r="122" spans="1:25" x14ac:dyDescent="0.3">
      <c r="A122">
        <v>121</v>
      </c>
      <c r="B122" t="s">
        <v>91</v>
      </c>
      <c r="C122" t="s">
        <v>251</v>
      </c>
      <c r="D122" t="s">
        <v>43</v>
      </c>
      <c r="E122" t="s">
        <v>43</v>
      </c>
      <c r="F122">
        <v>4</v>
      </c>
      <c r="G122">
        <v>80</v>
      </c>
      <c r="H122">
        <v>320</v>
      </c>
      <c r="I122">
        <v>30</v>
      </c>
      <c r="J122">
        <v>120</v>
      </c>
      <c r="K122">
        <v>200</v>
      </c>
      <c r="L122" t="s">
        <v>37</v>
      </c>
      <c r="M122" t="s">
        <v>38</v>
      </c>
      <c r="N122" t="s">
        <v>81</v>
      </c>
      <c r="O122">
        <v>18.13</v>
      </c>
      <c r="P122">
        <v>21.66</v>
      </c>
      <c r="Q122">
        <v>14.59</v>
      </c>
      <c r="R122">
        <v>29.26</v>
      </c>
      <c r="S122">
        <v>2.74</v>
      </c>
      <c r="T122">
        <v>10.52</v>
      </c>
      <c r="U122">
        <v>2.4500000000000002</v>
      </c>
      <c r="V122">
        <v>2.09</v>
      </c>
      <c r="W122">
        <v>98.56</v>
      </c>
      <c r="X122" t="s">
        <v>57</v>
      </c>
      <c r="Y122" t="s">
        <v>40</v>
      </c>
    </row>
    <row r="123" spans="1:25" x14ac:dyDescent="0.3">
      <c r="A123">
        <v>122</v>
      </c>
      <c r="B123" t="s">
        <v>157</v>
      </c>
      <c r="C123" t="s">
        <v>252</v>
      </c>
      <c r="D123" t="s">
        <v>54</v>
      </c>
      <c r="E123" t="s">
        <v>28</v>
      </c>
      <c r="F123">
        <v>3</v>
      </c>
      <c r="G123">
        <v>120</v>
      </c>
      <c r="H123">
        <v>360</v>
      </c>
      <c r="I123">
        <v>50</v>
      </c>
      <c r="J123">
        <v>150</v>
      </c>
      <c r="K123">
        <v>210</v>
      </c>
      <c r="L123" t="s">
        <v>44</v>
      </c>
      <c r="M123" t="s">
        <v>63</v>
      </c>
      <c r="N123" t="s">
        <v>46</v>
      </c>
      <c r="O123">
        <v>34.26</v>
      </c>
      <c r="P123">
        <v>55.16</v>
      </c>
      <c r="Q123">
        <v>16.16</v>
      </c>
      <c r="R123">
        <v>16.25</v>
      </c>
      <c r="S123">
        <v>4.16</v>
      </c>
      <c r="T123">
        <v>4.5999999999999996</v>
      </c>
      <c r="U123">
        <v>2.89</v>
      </c>
      <c r="V123">
        <v>1.41</v>
      </c>
      <c r="W123">
        <v>75.11</v>
      </c>
      <c r="X123" t="s">
        <v>66</v>
      </c>
      <c r="Y123" t="s">
        <v>40</v>
      </c>
    </row>
    <row r="124" spans="1:25" x14ac:dyDescent="0.3">
      <c r="A124">
        <v>123</v>
      </c>
      <c r="B124" t="s">
        <v>253</v>
      </c>
      <c r="C124" t="s">
        <v>254</v>
      </c>
      <c r="D124" t="s">
        <v>49</v>
      </c>
      <c r="E124" t="s">
        <v>50</v>
      </c>
      <c r="F124">
        <v>4</v>
      </c>
      <c r="G124">
        <v>180</v>
      </c>
      <c r="H124">
        <v>720</v>
      </c>
      <c r="I124">
        <v>90</v>
      </c>
      <c r="J124">
        <v>360</v>
      </c>
      <c r="K124">
        <v>360</v>
      </c>
      <c r="L124" t="s">
        <v>44</v>
      </c>
      <c r="M124" t="s">
        <v>45</v>
      </c>
      <c r="N124" t="s">
        <v>81</v>
      </c>
      <c r="O124">
        <v>37.979999999999997</v>
      </c>
      <c r="P124">
        <v>36.369999999999997</v>
      </c>
      <c r="Q124">
        <v>7.3</v>
      </c>
      <c r="R124">
        <v>8.67</v>
      </c>
      <c r="S124">
        <v>2.17</v>
      </c>
      <c r="T124">
        <v>11.87</v>
      </c>
      <c r="U124">
        <v>4.62</v>
      </c>
      <c r="V124">
        <v>1.87</v>
      </c>
      <c r="W124">
        <v>249.15</v>
      </c>
      <c r="X124" t="s">
        <v>66</v>
      </c>
      <c r="Y124" t="s">
        <v>40</v>
      </c>
    </row>
    <row r="125" spans="1:25" x14ac:dyDescent="0.3">
      <c r="A125">
        <v>124</v>
      </c>
      <c r="B125" t="s">
        <v>141</v>
      </c>
      <c r="C125" t="s">
        <v>255</v>
      </c>
      <c r="D125" t="s">
        <v>62</v>
      </c>
      <c r="E125" t="s">
        <v>28</v>
      </c>
      <c r="F125">
        <v>2</v>
      </c>
      <c r="G125">
        <v>250</v>
      </c>
      <c r="H125">
        <v>500</v>
      </c>
      <c r="I125">
        <v>110</v>
      </c>
      <c r="J125">
        <v>220</v>
      </c>
      <c r="K125">
        <v>280</v>
      </c>
      <c r="L125" t="s">
        <v>44</v>
      </c>
      <c r="M125" t="s">
        <v>38</v>
      </c>
      <c r="N125" t="s">
        <v>90</v>
      </c>
      <c r="O125">
        <v>26.04</v>
      </c>
      <c r="P125">
        <v>35.33</v>
      </c>
      <c r="Q125">
        <v>18.36</v>
      </c>
      <c r="R125">
        <v>34.4</v>
      </c>
      <c r="S125">
        <v>4.22</v>
      </c>
      <c r="T125">
        <v>12.48</v>
      </c>
      <c r="U125">
        <v>7.05</v>
      </c>
      <c r="V125">
        <v>0.19</v>
      </c>
      <c r="W125">
        <v>141.93</v>
      </c>
      <c r="X125" t="s">
        <v>32</v>
      </c>
      <c r="Y125" t="s">
        <v>40</v>
      </c>
    </row>
    <row r="126" spans="1:25" x14ac:dyDescent="0.3">
      <c r="A126">
        <v>125</v>
      </c>
      <c r="B126" t="s">
        <v>256</v>
      </c>
      <c r="C126" t="s">
        <v>257</v>
      </c>
      <c r="D126" t="s">
        <v>27</v>
      </c>
      <c r="E126" t="s">
        <v>28</v>
      </c>
      <c r="F126">
        <v>3</v>
      </c>
      <c r="G126">
        <v>200</v>
      </c>
      <c r="H126">
        <v>600</v>
      </c>
      <c r="I126">
        <v>90</v>
      </c>
      <c r="J126">
        <v>270</v>
      </c>
      <c r="K126">
        <v>330</v>
      </c>
      <c r="L126" t="s">
        <v>37</v>
      </c>
      <c r="M126" t="s">
        <v>56</v>
      </c>
      <c r="N126" t="s">
        <v>90</v>
      </c>
      <c r="O126">
        <v>11.01</v>
      </c>
      <c r="P126">
        <v>33.81</v>
      </c>
      <c r="Q126">
        <v>18.04</v>
      </c>
      <c r="R126">
        <v>9.1199999999999992</v>
      </c>
      <c r="S126">
        <v>2.89</v>
      </c>
      <c r="T126">
        <v>12.16</v>
      </c>
      <c r="U126">
        <v>3.84</v>
      </c>
      <c r="V126">
        <v>2.4</v>
      </c>
      <c r="W126">
        <v>236.73</v>
      </c>
      <c r="X126" t="s">
        <v>66</v>
      </c>
      <c r="Y126" t="s">
        <v>40</v>
      </c>
    </row>
    <row r="127" spans="1:25" x14ac:dyDescent="0.3">
      <c r="A127">
        <v>126</v>
      </c>
      <c r="B127" t="s">
        <v>258</v>
      </c>
      <c r="C127" t="s">
        <v>259</v>
      </c>
      <c r="D127" t="s">
        <v>43</v>
      </c>
      <c r="E127" t="s">
        <v>43</v>
      </c>
      <c r="F127">
        <v>3</v>
      </c>
      <c r="G127">
        <v>80</v>
      </c>
      <c r="H127">
        <v>240</v>
      </c>
      <c r="I127">
        <v>30</v>
      </c>
      <c r="J127">
        <v>90</v>
      </c>
      <c r="K127">
        <v>150</v>
      </c>
      <c r="L127" t="s">
        <v>44</v>
      </c>
      <c r="M127" t="s">
        <v>30</v>
      </c>
      <c r="N127" t="s">
        <v>81</v>
      </c>
      <c r="O127">
        <v>36.69</v>
      </c>
      <c r="P127">
        <v>38.31</v>
      </c>
      <c r="Q127">
        <v>19.329999999999998</v>
      </c>
      <c r="R127">
        <v>8.52</v>
      </c>
      <c r="S127">
        <v>0.75</v>
      </c>
      <c r="T127">
        <v>6.47</v>
      </c>
      <c r="U127">
        <v>2.46</v>
      </c>
      <c r="V127">
        <v>2.72</v>
      </c>
      <c r="W127">
        <v>34.75</v>
      </c>
      <c r="X127" t="s">
        <v>32</v>
      </c>
      <c r="Y127" t="s">
        <v>40</v>
      </c>
    </row>
    <row r="128" spans="1:25" x14ac:dyDescent="0.3">
      <c r="A128">
        <v>127</v>
      </c>
      <c r="B128" t="s">
        <v>110</v>
      </c>
      <c r="C128" t="s">
        <v>260</v>
      </c>
      <c r="D128" t="s">
        <v>62</v>
      </c>
      <c r="E128" t="s">
        <v>28</v>
      </c>
      <c r="F128">
        <v>3</v>
      </c>
      <c r="G128">
        <v>250</v>
      </c>
      <c r="H128">
        <v>750</v>
      </c>
      <c r="I128">
        <v>110</v>
      </c>
      <c r="J128">
        <v>330</v>
      </c>
      <c r="K128">
        <v>420</v>
      </c>
      <c r="L128" t="s">
        <v>86</v>
      </c>
      <c r="M128" t="s">
        <v>45</v>
      </c>
      <c r="N128" t="s">
        <v>46</v>
      </c>
      <c r="O128">
        <v>22.55</v>
      </c>
      <c r="P128">
        <v>27.97</v>
      </c>
      <c r="Q128">
        <v>11.35</v>
      </c>
      <c r="R128">
        <v>12.02</v>
      </c>
      <c r="S128">
        <v>0.81</v>
      </c>
      <c r="T128">
        <v>7.08</v>
      </c>
      <c r="U128">
        <v>1.44</v>
      </c>
      <c r="V128">
        <v>2.67</v>
      </c>
      <c r="W128">
        <v>334.11</v>
      </c>
      <c r="X128" t="s">
        <v>66</v>
      </c>
      <c r="Y128" t="s">
        <v>33</v>
      </c>
    </row>
    <row r="129" spans="1:25" x14ac:dyDescent="0.3">
      <c r="A129">
        <v>128</v>
      </c>
      <c r="B129" t="s">
        <v>105</v>
      </c>
      <c r="C129" t="s">
        <v>261</v>
      </c>
      <c r="D129" t="s">
        <v>109</v>
      </c>
      <c r="E129" t="s">
        <v>50</v>
      </c>
      <c r="F129">
        <v>1</v>
      </c>
      <c r="G129">
        <v>150</v>
      </c>
      <c r="H129">
        <v>150</v>
      </c>
      <c r="I129">
        <v>70</v>
      </c>
      <c r="J129">
        <v>70</v>
      </c>
      <c r="K129">
        <v>80</v>
      </c>
      <c r="L129" t="s">
        <v>86</v>
      </c>
      <c r="M129" t="s">
        <v>38</v>
      </c>
      <c r="N129" t="s">
        <v>51</v>
      </c>
      <c r="O129">
        <v>29.53</v>
      </c>
      <c r="P129">
        <v>40.61</v>
      </c>
      <c r="Q129">
        <v>8.24</v>
      </c>
      <c r="R129">
        <v>1.53</v>
      </c>
      <c r="S129">
        <v>1.25</v>
      </c>
      <c r="T129">
        <v>6.19</v>
      </c>
      <c r="U129">
        <v>7.11</v>
      </c>
      <c r="V129">
        <v>1.1200000000000001</v>
      </c>
      <c r="W129">
        <v>-15.58</v>
      </c>
      <c r="X129" t="s">
        <v>57</v>
      </c>
      <c r="Y129" t="s">
        <v>33</v>
      </c>
    </row>
    <row r="130" spans="1:25" x14ac:dyDescent="0.3">
      <c r="A130">
        <v>129</v>
      </c>
      <c r="B130" t="s">
        <v>262</v>
      </c>
      <c r="C130" t="s">
        <v>210</v>
      </c>
      <c r="D130" t="s">
        <v>54</v>
      </c>
      <c r="E130" t="s">
        <v>28</v>
      </c>
      <c r="F130">
        <v>3</v>
      </c>
      <c r="G130">
        <v>120</v>
      </c>
      <c r="H130">
        <v>360</v>
      </c>
      <c r="I130">
        <v>50</v>
      </c>
      <c r="J130">
        <v>150</v>
      </c>
      <c r="K130">
        <v>210</v>
      </c>
      <c r="L130" t="s">
        <v>29</v>
      </c>
      <c r="M130" t="s">
        <v>30</v>
      </c>
      <c r="N130" t="s">
        <v>51</v>
      </c>
      <c r="O130">
        <v>22.78</v>
      </c>
      <c r="P130">
        <v>15.48</v>
      </c>
      <c r="Q130">
        <v>7.48</v>
      </c>
      <c r="R130">
        <v>10.53</v>
      </c>
      <c r="S130">
        <v>0.59</v>
      </c>
      <c r="T130">
        <v>8.06</v>
      </c>
      <c r="U130">
        <v>2.87</v>
      </c>
      <c r="V130">
        <v>2.88</v>
      </c>
      <c r="W130">
        <v>139.33000000000001</v>
      </c>
      <c r="X130" t="s">
        <v>32</v>
      </c>
      <c r="Y130" t="s">
        <v>33</v>
      </c>
    </row>
    <row r="131" spans="1:25" x14ac:dyDescent="0.3">
      <c r="A131">
        <v>130</v>
      </c>
      <c r="B131" t="s">
        <v>263</v>
      </c>
      <c r="C131" t="s">
        <v>217</v>
      </c>
      <c r="D131" t="s">
        <v>43</v>
      </c>
      <c r="E131" t="s">
        <v>43</v>
      </c>
      <c r="F131">
        <v>4</v>
      </c>
      <c r="G131">
        <v>80</v>
      </c>
      <c r="H131">
        <v>320</v>
      </c>
      <c r="I131">
        <v>30</v>
      </c>
      <c r="J131">
        <v>120</v>
      </c>
      <c r="K131">
        <v>200</v>
      </c>
      <c r="L131" t="s">
        <v>55</v>
      </c>
      <c r="M131" t="s">
        <v>45</v>
      </c>
      <c r="N131" t="s">
        <v>90</v>
      </c>
      <c r="O131">
        <v>11.45</v>
      </c>
      <c r="P131">
        <v>55.61</v>
      </c>
      <c r="Q131">
        <v>18.309999999999999</v>
      </c>
      <c r="R131">
        <v>14.21</v>
      </c>
      <c r="S131">
        <v>4.3899999999999997</v>
      </c>
      <c r="T131">
        <v>6.38</v>
      </c>
      <c r="U131">
        <v>3.71</v>
      </c>
      <c r="V131">
        <v>1.66</v>
      </c>
      <c r="W131">
        <v>84.28</v>
      </c>
      <c r="X131" t="s">
        <v>57</v>
      </c>
      <c r="Y131" t="s">
        <v>33</v>
      </c>
    </row>
    <row r="132" spans="1:25" x14ac:dyDescent="0.3">
      <c r="A132">
        <v>131</v>
      </c>
      <c r="B132" t="s">
        <v>264</v>
      </c>
      <c r="C132" t="s">
        <v>197</v>
      </c>
      <c r="D132" t="s">
        <v>43</v>
      </c>
      <c r="E132" t="s">
        <v>43</v>
      </c>
      <c r="F132">
        <v>3</v>
      </c>
      <c r="G132">
        <v>80</v>
      </c>
      <c r="H132">
        <v>240</v>
      </c>
      <c r="I132">
        <v>30</v>
      </c>
      <c r="J132">
        <v>90</v>
      </c>
      <c r="K132">
        <v>150</v>
      </c>
      <c r="L132" t="s">
        <v>29</v>
      </c>
      <c r="M132" t="s">
        <v>45</v>
      </c>
      <c r="N132" t="s">
        <v>39</v>
      </c>
      <c r="O132">
        <v>23.49</v>
      </c>
      <c r="P132">
        <v>19.87</v>
      </c>
      <c r="Q132">
        <v>12.42</v>
      </c>
      <c r="R132">
        <v>21.78</v>
      </c>
      <c r="S132">
        <v>3.11</v>
      </c>
      <c r="T132">
        <v>2.63</v>
      </c>
      <c r="U132">
        <v>5.34</v>
      </c>
      <c r="V132">
        <v>2.2999999999999998</v>
      </c>
      <c r="W132">
        <v>59.06</v>
      </c>
      <c r="X132" t="s">
        <v>57</v>
      </c>
      <c r="Y132" t="s">
        <v>40</v>
      </c>
    </row>
    <row r="133" spans="1:25" x14ac:dyDescent="0.3">
      <c r="A133">
        <v>132</v>
      </c>
      <c r="B133" t="s">
        <v>172</v>
      </c>
      <c r="C133" t="s">
        <v>265</v>
      </c>
      <c r="D133" t="s">
        <v>49</v>
      </c>
      <c r="E133" t="s">
        <v>50</v>
      </c>
      <c r="F133">
        <v>3</v>
      </c>
      <c r="G133">
        <v>180</v>
      </c>
      <c r="H133">
        <v>540</v>
      </c>
      <c r="I133">
        <v>90</v>
      </c>
      <c r="J133">
        <v>270</v>
      </c>
      <c r="K133">
        <v>270</v>
      </c>
      <c r="L133" t="s">
        <v>55</v>
      </c>
      <c r="M133" t="s">
        <v>30</v>
      </c>
      <c r="N133" t="s">
        <v>31</v>
      </c>
      <c r="O133">
        <v>18.72</v>
      </c>
      <c r="P133">
        <v>30.07</v>
      </c>
      <c r="Q133">
        <v>12.47</v>
      </c>
      <c r="R133">
        <v>29.9</v>
      </c>
      <c r="S133">
        <v>1.84</v>
      </c>
      <c r="T133">
        <v>12.05</v>
      </c>
      <c r="U133">
        <v>7.12</v>
      </c>
      <c r="V133">
        <v>1.64</v>
      </c>
      <c r="W133">
        <v>156.19</v>
      </c>
      <c r="X133" t="s">
        <v>32</v>
      </c>
      <c r="Y133" t="s">
        <v>33</v>
      </c>
    </row>
    <row r="134" spans="1:25" x14ac:dyDescent="0.3">
      <c r="A134">
        <v>133</v>
      </c>
      <c r="B134" t="s">
        <v>266</v>
      </c>
      <c r="C134" t="s">
        <v>267</v>
      </c>
      <c r="D134" t="s">
        <v>27</v>
      </c>
      <c r="E134" t="s">
        <v>28</v>
      </c>
      <c r="F134">
        <v>2</v>
      </c>
      <c r="G134">
        <v>200</v>
      </c>
      <c r="H134">
        <v>400</v>
      </c>
      <c r="I134">
        <v>90</v>
      </c>
      <c r="J134">
        <v>180</v>
      </c>
      <c r="K134">
        <v>220</v>
      </c>
      <c r="L134" t="s">
        <v>55</v>
      </c>
      <c r="M134" t="s">
        <v>56</v>
      </c>
      <c r="N134" t="s">
        <v>39</v>
      </c>
      <c r="O134">
        <v>19.059999999999999</v>
      </c>
      <c r="P134">
        <v>53.43</v>
      </c>
      <c r="Q134">
        <v>17.55</v>
      </c>
      <c r="R134">
        <v>12.68</v>
      </c>
      <c r="S134">
        <v>3.19</v>
      </c>
      <c r="T134">
        <v>10.51</v>
      </c>
      <c r="U134">
        <v>1.71</v>
      </c>
      <c r="V134">
        <v>0.95</v>
      </c>
      <c r="W134">
        <v>100.92</v>
      </c>
      <c r="X134" t="s">
        <v>66</v>
      </c>
      <c r="Y134" t="s">
        <v>40</v>
      </c>
    </row>
    <row r="135" spans="1:25" x14ac:dyDescent="0.3">
      <c r="A135">
        <v>134</v>
      </c>
      <c r="B135" t="s">
        <v>268</v>
      </c>
      <c r="C135" t="s">
        <v>269</v>
      </c>
      <c r="D135" t="s">
        <v>62</v>
      </c>
      <c r="E135" t="s">
        <v>28</v>
      </c>
      <c r="F135">
        <v>2</v>
      </c>
      <c r="G135">
        <v>250</v>
      </c>
      <c r="H135">
        <v>500</v>
      </c>
      <c r="I135">
        <v>110</v>
      </c>
      <c r="J135">
        <v>220</v>
      </c>
      <c r="K135">
        <v>280</v>
      </c>
      <c r="L135" t="s">
        <v>44</v>
      </c>
      <c r="M135" t="s">
        <v>38</v>
      </c>
      <c r="N135" t="s">
        <v>90</v>
      </c>
      <c r="O135">
        <v>11.89</v>
      </c>
      <c r="P135">
        <v>36.479999999999997</v>
      </c>
      <c r="Q135">
        <v>8</v>
      </c>
      <c r="R135">
        <v>19.46</v>
      </c>
      <c r="S135">
        <v>3.68</v>
      </c>
      <c r="T135">
        <v>13.28</v>
      </c>
      <c r="U135">
        <v>2.4</v>
      </c>
      <c r="V135">
        <v>0.49</v>
      </c>
      <c r="W135">
        <v>184.32</v>
      </c>
      <c r="X135" t="s">
        <v>66</v>
      </c>
      <c r="Y135" t="s">
        <v>33</v>
      </c>
    </row>
    <row r="136" spans="1:25" x14ac:dyDescent="0.3">
      <c r="A136">
        <v>135</v>
      </c>
      <c r="B136" t="s">
        <v>132</v>
      </c>
      <c r="C136" t="s">
        <v>270</v>
      </c>
      <c r="D136" t="s">
        <v>89</v>
      </c>
      <c r="E136" t="s">
        <v>28</v>
      </c>
      <c r="F136">
        <v>1</v>
      </c>
      <c r="G136">
        <v>180</v>
      </c>
      <c r="H136">
        <v>180</v>
      </c>
      <c r="I136">
        <v>75</v>
      </c>
      <c r="J136">
        <v>75</v>
      </c>
      <c r="K136">
        <v>105</v>
      </c>
      <c r="L136" t="s">
        <v>29</v>
      </c>
      <c r="M136" t="s">
        <v>38</v>
      </c>
      <c r="N136" t="s">
        <v>31</v>
      </c>
      <c r="O136">
        <v>20.010000000000002</v>
      </c>
      <c r="P136">
        <v>48.42</v>
      </c>
      <c r="Q136">
        <v>13.61</v>
      </c>
      <c r="R136">
        <v>9.56</v>
      </c>
      <c r="S136">
        <v>1.7</v>
      </c>
      <c r="T136">
        <v>6.65</v>
      </c>
      <c r="U136">
        <v>6.66</v>
      </c>
      <c r="V136">
        <v>0.57999999999999996</v>
      </c>
      <c r="W136">
        <v>-2.19</v>
      </c>
      <c r="X136" t="s">
        <v>32</v>
      </c>
      <c r="Y136" t="s">
        <v>33</v>
      </c>
    </row>
    <row r="137" spans="1:25" x14ac:dyDescent="0.3">
      <c r="A137">
        <v>136</v>
      </c>
      <c r="B137" t="s">
        <v>263</v>
      </c>
      <c r="C137" t="s">
        <v>223</v>
      </c>
      <c r="D137" t="s">
        <v>43</v>
      </c>
      <c r="E137" t="s">
        <v>43</v>
      </c>
      <c r="F137">
        <v>1</v>
      </c>
      <c r="G137">
        <v>80</v>
      </c>
      <c r="H137">
        <v>80</v>
      </c>
      <c r="I137">
        <v>30</v>
      </c>
      <c r="J137">
        <v>30</v>
      </c>
      <c r="K137">
        <v>50</v>
      </c>
      <c r="L137" t="s">
        <v>86</v>
      </c>
      <c r="M137" t="s">
        <v>63</v>
      </c>
      <c r="N137" t="s">
        <v>51</v>
      </c>
      <c r="O137">
        <v>14.55</v>
      </c>
      <c r="P137">
        <v>51.75</v>
      </c>
      <c r="Q137">
        <v>10.88</v>
      </c>
      <c r="R137">
        <v>16.02</v>
      </c>
      <c r="S137">
        <v>2.09</v>
      </c>
      <c r="T137">
        <v>8.77</v>
      </c>
      <c r="U137">
        <v>3.85</v>
      </c>
      <c r="V137">
        <v>1.73</v>
      </c>
      <c r="W137">
        <v>-59.64</v>
      </c>
      <c r="X137" t="s">
        <v>57</v>
      </c>
      <c r="Y137" t="s">
        <v>33</v>
      </c>
    </row>
    <row r="138" spans="1:25" x14ac:dyDescent="0.3">
      <c r="A138">
        <v>137</v>
      </c>
      <c r="B138" t="s">
        <v>227</v>
      </c>
      <c r="C138" t="s">
        <v>176</v>
      </c>
      <c r="D138" t="s">
        <v>49</v>
      </c>
      <c r="E138" t="s">
        <v>50</v>
      </c>
      <c r="F138">
        <v>1</v>
      </c>
      <c r="G138">
        <v>180</v>
      </c>
      <c r="H138">
        <v>180</v>
      </c>
      <c r="I138">
        <v>90</v>
      </c>
      <c r="J138">
        <v>90</v>
      </c>
      <c r="K138">
        <v>90</v>
      </c>
      <c r="L138" t="s">
        <v>37</v>
      </c>
      <c r="M138" t="s">
        <v>56</v>
      </c>
      <c r="N138" t="s">
        <v>31</v>
      </c>
      <c r="O138">
        <v>16.18</v>
      </c>
      <c r="P138">
        <v>16.57</v>
      </c>
      <c r="Q138">
        <v>15.53</v>
      </c>
      <c r="R138">
        <v>31.13</v>
      </c>
      <c r="S138">
        <v>4.5599999999999996</v>
      </c>
      <c r="T138">
        <v>11.87</v>
      </c>
      <c r="U138">
        <v>7.37</v>
      </c>
      <c r="V138">
        <v>2.02</v>
      </c>
      <c r="W138">
        <v>-15.23</v>
      </c>
      <c r="X138" t="s">
        <v>57</v>
      </c>
      <c r="Y138" t="s">
        <v>33</v>
      </c>
    </row>
    <row r="139" spans="1:25" x14ac:dyDescent="0.3">
      <c r="A139">
        <v>138</v>
      </c>
      <c r="B139" t="s">
        <v>271</v>
      </c>
      <c r="C139" t="s">
        <v>272</v>
      </c>
      <c r="D139" t="s">
        <v>36</v>
      </c>
      <c r="E139" t="s">
        <v>28</v>
      </c>
      <c r="F139">
        <v>1</v>
      </c>
      <c r="G139">
        <v>220</v>
      </c>
      <c r="H139">
        <v>220</v>
      </c>
      <c r="I139">
        <v>100</v>
      </c>
      <c r="J139">
        <v>100</v>
      </c>
      <c r="K139">
        <v>120</v>
      </c>
      <c r="L139" t="s">
        <v>55</v>
      </c>
      <c r="M139" t="s">
        <v>30</v>
      </c>
      <c r="N139" t="s">
        <v>81</v>
      </c>
      <c r="O139">
        <v>34.11</v>
      </c>
      <c r="P139">
        <v>19.59</v>
      </c>
      <c r="Q139">
        <v>18.920000000000002</v>
      </c>
      <c r="R139">
        <v>23.2</v>
      </c>
      <c r="S139">
        <v>1.1100000000000001</v>
      </c>
      <c r="T139">
        <v>12.68</v>
      </c>
      <c r="U139">
        <v>6.46</v>
      </c>
      <c r="V139">
        <v>2.2000000000000002</v>
      </c>
      <c r="W139">
        <v>1.73</v>
      </c>
      <c r="X139" t="s">
        <v>57</v>
      </c>
      <c r="Y139" t="s">
        <v>33</v>
      </c>
    </row>
    <row r="140" spans="1:25" x14ac:dyDescent="0.3">
      <c r="A140">
        <v>139</v>
      </c>
      <c r="B140" t="s">
        <v>82</v>
      </c>
      <c r="C140" t="s">
        <v>273</v>
      </c>
      <c r="D140" t="s">
        <v>27</v>
      </c>
      <c r="E140" t="s">
        <v>28</v>
      </c>
      <c r="F140">
        <v>3</v>
      </c>
      <c r="G140">
        <v>200</v>
      </c>
      <c r="H140">
        <v>600</v>
      </c>
      <c r="I140">
        <v>90</v>
      </c>
      <c r="J140">
        <v>270</v>
      </c>
      <c r="K140">
        <v>330</v>
      </c>
      <c r="L140" t="s">
        <v>44</v>
      </c>
      <c r="M140" t="s">
        <v>38</v>
      </c>
      <c r="N140" t="s">
        <v>51</v>
      </c>
      <c r="O140">
        <v>11.98</v>
      </c>
      <c r="P140">
        <v>48.31</v>
      </c>
      <c r="Q140">
        <v>7.31</v>
      </c>
      <c r="R140">
        <v>34.42</v>
      </c>
      <c r="S140">
        <v>2.86</v>
      </c>
      <c r="T140">
        <v>12.05</v>
      </c>
      <c r="U140">
        <v>1.86</v>
      </c>
      <c r="V140">
        <v>1.92</v>
      </c>
      <c r="W140">
        <v>209.29</v>
      </c>
      <c r="X140" t="s">
        <v>66</v>
      </c>
      <c r="Y140" t="s">
        <v>40</v>
      </c>
    </row>
    <row r="141" spans="1:25" x14ac:dyDescent="0.3">
      <c r="A141">
        <v>140</v>
      </c>
      <c r="B141" t="s">
        <v>71</v>
      </c>
      <c r="C141" t="s">
        <v>274</v>
      </c>
      <c r="D141" t="s">
        <v>43</v>
      </c>
      <c r="E141" t="s">
        <v>43</v>
      </c>
      <c r="F141">
        <v>2</v>
      </c>
      <c r="G141">
        <v>80</v>
      </c>
      <c r="H141">
        <v>160</v>
      </c>
      <c r="I141">
        <v>30</v>
      </c>
      <c r="J141">
        <v>60</v>
      </c>
      <c r="K141">
        <v>100</v>
      </c>
      <c r="L141" t="s">
        <v>55</v>
      </c>
      <c r="M141" t="s">
        <v>38</v>
      </c>
      <c r="N141" t="s">
        <v>31</v>
      </c>
      <c r="O141">
        <v>26.36</v>
      </c>
      <c r="P141">
        <v>48.56</v>
      </c>
      <c r="Q141">
        <v>9.65</v>
      </c>
      <c r="R141">
        <v>17.09</v>
      </c>
      <c r="S141">
        <v>3.61</v>
      </c>
      <c r="T141">
        <v>10.95</v>
      </c>
      <c r="U141">
        <v>4.9800000000000004</v>
      </c>
      <c r="V141">
        <v>2.98</v>
      </c>
      <c r="W141">
        <v>-24.18</v>
      </c>
      <c r="X141" t="s">
        <v>57</v>
      </c>
      <c r="Y141" t="s">
        <v>40</v>
      </c>
    </row>
    <row r="142" spans="1:25" x14ac:dyDescent="0.3">
      <c r="A142">
        <v>141</v>
      </c>
      <c r="B142" t="s">
        <v>229</v>
      </c>
      <c r="C142" t="s">
        <v>275</v>
      </c>
      <c r="D142" t="s">
        <v>109</v>
      </c>
      <c r="E142" t="s">
        <v>50</v>
      </c>
      <c r="F142">
        <v>2</v>
      </c>
      <c r="G142">
        <v>150</v>
      </c>
      <c r="H142">
        <v>300</v>
      </c>
      <c r="I142">
        <v>70</v>
      </c>
      <c r="J142">
        <v>140</v>
      </c>
      <c r="K142">
        <v>160</v>
      </c>
      <c r="L142" t="s">
        <v>55</v>
      </c>
      <c r="M142" t="s">
        <v>38</v>
      </c>
      <c r="N142" t="s">
        <v>39</v>
      </c>
      <c r="O142">
        <v>21.86</v>
      </c>
      <c r="P142">
        <v>52.47</v>
      </c>
      <c r="Q142">
        <v>17.809999999999999</v>
      </c>
      <c r="R142">
        <v>31.13</v>
      </c>
      <c r="S142">
        <v>2.84</v>
      </c>
      <c r="T142">
        <v>4.37</v>
      </c>
      <c r="U142">
        <v>2.62</v>
      </c>
      <c r="V142">
        <v>0.81</v>
      </c>
      <c r="W142">
        <v>26.09</v>
      </c>
      <c r="X142" t="s">
        <v>57</v>
      </c>
      <c r="Y142" t="s">
        <v>33</v>
      </c>
    </row>
    <row r="143" spans="1:25" x14ac:dyDescent="0.3">
      <c r="A143">
        <v>142</v>
      </c>
      <c r="B143" t="s">
        <v>52</v>
      </c>
      <c r="C143" t="s">
        <v>276</v>
      </c>
      <c r="D143" t="s">
        <v>36</v>
      </c>
      <c r="E143" t="s">
        <v>28</v>
      </c>
      <c r="F143">
        <v>4</v>
      </c>
      <c r="G143">
        <v>220</v>
      </c>
      <c r="H143">
        <v>880</v>
      </c>
      <c r="I143">
        <v>100</v>
      </c>
      <c r="J143">
        <v>400</v>
      </c>
      <c r="K143">
        <v>480</v>
      </c>
      <c r="L143" t="s">
        <v>55</v>
      </c>
      <c r="M143" t="s">
        <v>30</v>
      </c>
      <c r="N143" t="s">
        <v>81</v>
      </c>
      <c r="O143">
        <v>20.12</v>
      </c>
      <c r="P143">
        <v>19.77</v>
      </c>
      <c r="Q143">
        <v>7.93</v>
      </c>
      <c r="R143">
        <v>33.04</v>
      </c>
      <c r="S143">
        <v>1.83</v>
      </c>
      <c r="T143">
        <v>5.75</v>
      </c>
      <c r="U143">
        <v>1.1499999999999999</v>
      </c>
      <c r="V143">
        <v>2.4500000000000002</v>
      </c>
      <c r="W143">
        <v>387.96</v>
      </c>
      <c r="X143" t="s">
        <v>66</v>
      </c>
      <c r="Y143" t="s">
        <v>33</v>
      </c>
    </row>
    <row r="144" spans="1:25" x14ac:dyDescent="0.3">
      <c r="A144">
        <v>143</v>
      </c>
      <c r="B144" t="s">
        <v>277</v>
      </c>
      <c r="C144" t="s">
        <v>278</v>
      </c>
      <c r="D144" t="s">
        <v>43</v>
      </c>
      <c r="E144" t="s">
        <v>43</v>
      </c>
      <c r="F144">
        <v>2</v>
      </c>
      <c r="G144">
        <v>80</v>
      </c>
      <c r="H144">
        <v>160</v>
      </c>
      <c r="I144">
        <v>30</v>
      </c>
      <c r="J144">
        <v>60</v>
      </c>
      <c r="K144">
        <v>100</v>
      </c>
      <c r="L144" t="s">
        <v>37</v>
      </c>
      <c r="M144" t="s">
        <v>45</v>
      </c>
      <c r="N144" t="s">
        <v>39</v>
      </c>
      <c r="O144">
        <v>12.37</v>
      </c>
      <c r="P144">
        <v>50.39</v>
      </c>
      <c r="Q144">
        <v>6.22</v>
      </c>
      <c r="R144">
        <v>18.52</v>
      </c>
      <c r="S144">
        <v>4.84</v>
      </c>
      <c r="T144">
        <v>8.2899999999999991</v>
      </c>
      <c r="U144">
        <v>3.79</v>
      </c>
      <c r="V144">
        <v>2.63</v>
      </c>
      <c r="W144">
        <v>-7.05</v>
      </c>
      <c r="X144" t="s">
        <v>32</v>
      </c>
      <c r="Y144" t="s">
        <v>40</v>
      </c>
    </row>
    <row r="145" spans="1:25" x14ac:dyDescent="0.3">
      <c r="A145">
        <v>144</v>
      </c>
      <c r="B145" t="s">
        <v>279</v>
      </c>
      <c r="C145" t="s">
        <v>280</v>
      </c>
      <c r="D145" t="s">
        <v>62</v>
      </c>
      <c r="E145" t="s">
        <v>28</v>
      </c>
      <c r="F145">
        <v>1</v>
      </c>
      <c r="G145">
        <v>250</v>
      </c>
      <c r="H145">
        <v>250</v>
      </c>
      <c r="I145">
        <v>110</v>
      </c>
      <c r="J145">
        <v>110</v>
      </c>
      <c r="K145">
        <v>140</v>
      </c>
      <c r="L145" t="s">
        <v>37</v>
      </c>
      <c r="M145" t="s">
        <v>38</v>
      </c>
      <c r="N145" t="s">
        <v>46</v>
      </c>
      <c r="O145">
        <v>36.39</v>
      </c>
      <c r="P145">
        <v>18.670000000000002</v>
      </c>
      <c r="Q145">
        <v>7.6</v>
      </c>
      <c r="R145">
        <v>0.46</v>
      </c>
      <c r="S145">
        <v>4.72</v>
      </c>
      <c r="T145">
        <v>12.95</v>
      </c>
      <c r="U145">
        <v>1.58</v>
      </c>
      <c r="V145">
        <v>2.1800000000000002</v>
      </c>
      <c r="W145">
        <v>55.45</v>
      </c>
      <c r="X145" t="s">
        <v>66</v>
      </c>
      <c r="Y145" t="s">
        <v>33</v>
      </c>
    </row>
    <row r="146" spans="1:25" x14ac:dyDescent="0.3">
      <c r="A146">
        <v>145</v>
      </c>
      <c r="B146" t="s">
        <v>281</v>
      </c>
      <c r="C146" t="s">
        <v>282</v>
      </c>
      <c r="D146" t="s">
        <v>54</v>
      </c>
      <c r="E146" t="s">
        <v>28</v>
      </c>
      <c r="F146">
        <v>2</v>
      </c>
      <c r="G146">
        <v>120</v>
      </c>
      <c r="H146">
        <v>240</v>
      </c>
      <c r="I146">
        <v>50</v>
      </c>
      <c r="J146">
        <v>100</v>
      </c>
      <c r="K146">
        <v>140</v>
      </c>
      <c r="L146" t="s">
        <v>44</v>
      </c>
      <c r="M146" t="s">
        <v>38</v>
      </c>
      <c r="N146" t="s">
        <v>90</v>
      </c>
      <c r="O146">
        <v>37.590000000000003</v>
      </c>
      <c r="P146">
        <v>16.850000000000001</v>
      </c>
      <c r="Q146">
        <v>12.89</v>
      </c>
      <c r="R146">
        <v>26.34</v>
      </c>
      <c r="S146">
        <v>0.93</v>
      </c>
      <c r="T146">
        <v>9.25</v>
      </c>
      <c r="U146">
        <v>6.24</v>
      </c>
      <c r="V146">
        <v>1.9</v>
      </c>
      <c r="W146">
        <v>28.01</v>
      </c>
      <c r="X146" t="s">
        <v>57</v>
      </c>
      <c r="Y146" t="s">
        <v>33</v>
      </c>
    </row>
    <row r="147" spans="1:25" x14ac:dyDescent="0.3">
      <c r="A147">
        <v>146</v>
      </c>
      <c r="B147" t="s">
        <v>205</v>
      </c>
      <c r="C147" t="s">
        <v>283</v>
      </c>
      <c r="D147" t="s">
        <v>49</v>
      </c>
      <c r="E147" t="s">
        <v>50</v>
      </c>
      <c r="F147">
        <v>4</v>
      </c>
      <c r="G147">
        <v>180</v>
      </c>
      <c r="H147">
        <v>720</v>
      </c>
      <c r="I147">
        <v>90</v>
      </c>
      <c r="J147">
        <v>360</v>
      </c>
      <c r="K147">
        <v>360</v>
      </c>
      <c r="L147" t="s">
        <v>55</v>
      </c>
      <c r="M147" t="s">
        <v>63</v>
      </c>
      <c r="N147" t="s">
        <v>46</v>
      </c>
      <c r="O147">
        <v>23.68</v>
      </c>
      <c r="P147">
        <v>38.020000000000003</v>
      </c>
      <c r="Q147">
        <v>13.19</v>
      </c>
      <c r="R147">
        <v>24.58</v>
      </c>
      <c r="S147">
        <v>3.28</v>
      </c>
      <c r="T147">
        <v>11.61</v>
      </c>
      <c r="U147">
        <v>1.33</v>
      </c>
      <c r="V147">
        <v>0.15</v>
      </c>
      <c r="W147">
        <v>244.16</v>
      </c>
      <c r="X147" t="s">
        <v>32</v>
      </c>
      <c r="Y147" t="s">
        <v>40</v>
      </c>
    </row>
    <row r="148" spans="1:25" x14ac:dyDescent="0.3">
      <c r="A148">
        <v>147</v>
      </c>
      <c r="B148" t="s">
        <v>284</v>
      </c>
      <c r="C148" t="s">
        <v>246</v>
      </c>
      <c r="D148" t="s">
        <v>62</v>
      </c>
      <c r="E148" t="s">
        <v>28</v>
      </c>
      <c r="F148">
        <v>3</v>
      </c>
      <c r="G148">
        <v>250</v>
      </c>
      <c r="H148">
        <v>750</v>
      </c>
      <c r="I148">
        <v>110</v>
      </c>
      <c r="J148">
        <v>330</v>
      </c>
      <c r="K148">
        <v>420</v>
      </c>
      <c r="L148" t="s">
        <v>37</v>
      </c>
      <c r="M148" t="s">
        <v>45</v>
      </c>
      <c r="N148" t="s">
        <v>46</v>
      </c>
      <c r="O148">
        <v>14.69</v>
      </c>
      <c r="P148">
        <v>36.700000000000003</v>
      </c>
      <c r="Q148">
        <v>13.81</v>
      </c>
      <c r="R148">
        <v>13.31</v>
      </c>
      <c r="S148">
        <v>0.21</v>
      </c>
      <c r="T148">
        <v>13.54</v>
      </c>
      <c r="U148">
        <v>7.01</v>
      </c>
      <c r="V148">
        <v>1.57</v>
      </c>
      <c r="W148">
        <v>319.16000000000003</v>
      </c>
      <c r="X148" t="s">
        <v>32</v>
      </c>
      <c r="Y148" t="s">
        <v>33</v>
      </c>
    </row>
    <row r="149" spans="1:25" x14ac:dyDescent="0.3">
      <c r="A149">
        <v>148</v>
      </c>
      <c r="B149" t="s">
        <v>168</v>
      </c>
      <c r="C149" t="s">
        <v>146</v>
      </c>
      <c r="D149" t="s">
        <v>109</v>
      </c>
      <c r="E149" t="s">
        <v>50</v>
      </c>
      <c r="F149">
        <v>4</v>
      </c>
      <c r="G149">
        <v>150</v>
      </c>
      <c r="H149">
        <v>600</v>
      </c>
      <c r="I149">
        <v>70</v>
      </c>
      <c r="J149">
        <v>280</v>
      </c>
      <c r="K149">
        <v>320</v>
      </c>
      <c r="L149" t="s">
        <v>37</v>
      </c>
      <c r="M149" t="s">
        <v>30</v>
      </c>
      <c r="N149" t="s">
        <v>39</v>
      </c>
      <c r="O149">
        <v>30.82</v>
      </c>
      <c r="P149">
        <v>28.79</v>
      </c>
      <c r="Q149">
        <v>13.86</v>
      </c>
      <c r="R149">
        <v>28.41</v>
      </c>
      <c r="S149">
        <v>3.89</v>
      </c>
      <c r="T149">
        <v>12.37</v>
      </c>
      <c r="U149">
        <v>1.53</v>
      </c>
      <c r="V149">
        <v>2.8</v>
      </c>
      <c r="W149">
        <v>197.53</v>
      </c>
      <c r="X149" t="s">
        <v>32</v>
      </c>
      <c r="Y149" t="s">
        <v>33</v>
      </c>
    </row>
    <row r="150" spans="1:25" x14ac:dyDescent="0.3">
      <c r="A150">
        <v>149</v>
      </c>
      <c r="B150" t="s">
        <v>285</v>
      </c>
      <c r="C150" t="s">
        <v>286</v>
      </c>
      <c r="D150" t="s">
        <v>54</v>
      </c>
      <c r="E150" t="s">
        <v>28</v>
      </c>
      <c r="F150">
        <v>1</v>
      </c>
      <c r="G150">
        <v>120</v>
      </c>
      <c r="H150">
        <v>120</v>
      </c>
      <c r="I150">
        <v>50</v>
      </c>
      <c r="J150">
        <v>50</v>
      </c>
      <c r="K150">
        <v>70</v>
      </c>
      <c r="L150" t="s">
        <v>29</v>
      </c>
      <c r="M150" t="s">
        <v>45</v>
      </c>
      <c r="N150" t="s">
        <v>31</v>
      </c>
      <c r="O150">
        <v>12.38</v>
      </c>
      <c r="P150">
        <v>55.78</v>
      </c>
      <c r="Q150">
        <v>14.51</v>
      </c>
      <c r="R150">
        <v>11.52</v>
      </c>
      <c r="S150">
        <v>0.86</v>
      </c>
      <c r="T150">
        <v>11.62</v>
      </c>
      <c r="U150">
        <v>5.45</v>
      </c>
      <c r="V150">
        <v>1.71</v>
      </c>
      <c r="W150">
        <v>-43.83</v>
      </c>
      <c r="X150" t="s">
        <v>66</v>
      </c>
      <c r="Y150" t="s">
        <v>33</v>
      </c>
    </row>
    <row r="151" spans="1:25" x14ac:dyDescent="0.3">
      <c r="A151">
        <v>150</v>
      </c>
      <c r="B151" t="s">
        <v>287</v>
      </c>
      <c r="C151" t="s">
        <v>288</v>
      </c>
      <c r="D151" t="s">
        <v>27</v>
      </c>
      <c r="E151" t="s">
        <v>28</v>
      </c>
      <c r="F151">
        <v>1</v>
      </c>
      <c r="G151">
        <v>200</v>
      </c>
      <c r="H151">
        <v>200</v>
      </c>
      <c r="I151">
        <v>90</v>
      </c>
      <c r="J151">
        <v>90</v>
      </c>
      <c r="K151">
        <v>110</v>
      </c>
      <c r="L151" t="s">
        <v>29</v>
      </c>
      <c r="M151" t="s">
        <v>45</v>
      </c>
      <c r="N151" t="s">
        <v>90</v>
      </c>
      <c r="O151">
        <v>10.91</v>
      </c>
      <c r="P151">
        <v>41.84</v>
      </c>
      <c r="Q151">
        <v>7.34</v>
      </c>
      <c r="R151">
        <v>29.49</v>
      </c>
      <c r="S151">
        <v>4.37</v>
      </c>
      <c r="T151">
        <v>7.76</v>
      </c>
      <c r="U151">
        <v>1.74</v>
      </c>
      <c r="V151">
        <v>2.99</v>
      </c>
      <c r="W151">
        <v>3.56</v>
      </c>
      <c r="X151" t="s">
        <v>32</v>
      </c>
      <c r="Y151" t="s">
        <v>33</v>
      </c>
    </row>
    <row r="152" spans="1:25" x14ac:dyDescent="0.3">
      <c r="A152">
        <v>151</v>
      </c>
      <c r="B152" t="s">
        <v>126</v>
      </c>
      <c r="C152" t="s">
        <v>289</v>
      </c>
      <c r="D152" t="s">
        <v>36</v>
      </c>
      <c r="E152" t="s">
        <v>28</v>
      </c>
      <c r="F152">
        <v>3</v>
      </c>
      <c r="G152">
        <v>220</v>
      </c>
      <c r="H152">
        <v>660</v>
      </c>
      <c r="I152">
        <v>100</v>
      </c>
      <c r="J152">
        <v>300</v>
      </c>
      <c r="K152">
        <v>360</v>
      </c>
      <c r="L152" t="s">
        <v>37</v>
      </c>
      <c r="M152" t="s">
        <v>38</v>
      </c>
      <c r="N152" t="s">
        <v>90</v>
      </c>
      <c r="O152">
        <v>23.54</v>
      </c>
      <c r="P152">
        <v>22.06</v>
      </c>
      <c r="Q152">
        <v>18.420000000000002</v>
      </c>
      <c r="R152">
        <v>10.62</v>
      </c>
      <c r="S152">
        <v>0.85</v>
      </c>
      <c r="T152">
        <v>12.41</v>
      </c>
      <c r="U152">
        <v>2.65</v>
      </c>
      <c r="V152">
        <v>2.91</v>
      </c>
      <c r="W152">
        <v>266.54000000000002</v>
      </c>
      <c r="X152" t="s">
        <v>57</v>
      </c>
      <c r="Y152" t="s">
        <v>40</v>
      </c>
    </row>
    <row r="153" spans="1:25" x14ac:dyDescent="0.3">
      <c r="A153">
        <v>152</v>
      </c>
      <c r="B153" t="s">
        <v>103</v>
      </c>
      <c r="C153" t="s">
        <v>290</v>
      </c>
      <c r="D153" t="s">
        <v>62</v>
      </c>
      <c r="E153" t="s">
        <v>28</v>
      </c>
      <c r="F153">
        <v>2</v>
      </c>
      <c r="G153">
        <v>250</v>
      </c>
      <c r="H153">
        <v>500</v>
      </c>
      <c r="I153">
        <v>110</v>
      </c>
      <c r="J153">
        <v>220</v>
      </c>
      <c r="K153">
        <v>280</v>
      </c>
      <c r="L153" t="s">
        <v>86</v>
      </c>
      <c r="M153" t="s">
        <v>63</v>
      </c>
      <c r="N153" t="s">
        <v>51</v>
      </c>
      <c r="O153">
        <v>18.940000000000001</v>
      </c>
      <c r="P153">
        <v>39.11</v>
      </c>
      <c r="Q153">
        <v>9.18</v>
      </c>
      <c r="R153">
        <v>3.55</v>
      </c>
      <c r="S153">
        <v>4.04</v>
      </c>
      <c r="T153">
        <v>13.89</v>
      </c>
      <c r="U153">
        <v>3.38</v>
      </c>
      <c r="V153">
        <v>0.3</v>
      </c>
      <c r="W153">
        <v>187.61</v>
      </c>
      <c r="X153" t="s">
        <v>66</v>
      </c>
      <c r="Y153" t="s">
        <v>40</v>
      </c>
    </row>
    <row r="154" spans="1:25" x14ac:dyDescent="0.3">
      <c r="A154">
        <v>153</v>
      </c>
      <c r="B154" t="s">
        <v>291</v>
      </c>
      <c r="C154" t="s">
        <v>292</v>
      </c>
      <c r="D154" t="s">
        <v>43</v>
      </c>
      <c r="E154" t="s">
        <v>43</v>
      </c>
      <c r="F154">
        <v>3</v>
      </c>
      <c r="G154">
        <v>80</v>
      </c>
      <c r="H154">
        <v>240</v>
      </c>
      <c r="I154">
        <v>30</v>
      </c>
      <c r="J154">
        <v>90</v>
      </c>
      <c r="K154">
        <v>150</v>
      </c>
      <c r="L154" t="s">
        <v>29</v>
      </c>
      <c r="M154" t="s">
        <v>38</v>
      </c>
      <c r="N154" t="s">
        <v>39</v>
      </c>
      <c r="O154">
        <v>11</v>
      </c>
      <c r="P154">
        <v>19.53</v>
      </c>
      <c r="Q154">
        <v>6.38</v>
      </c>
      <c r="R154">
        <v>6.03</v>
      </c>
      <c r="S154">
        <v>1.46</v>
      </c>
      <c r="T154">
        <v>13.2</v>
      </c>
      <c r="U154">
        <v>6.84</v>
      </c>
      <c r="V154">
        <v>2.57</v>
      </c>
      <c r="W154">
        <v>82.99</v>
      </c>
      <c r="X154" t="s">
        <v>57</v>
      </c>
      <c r="Y154" t="s">
        <v>33</v>
      </c>
    </row>
    <row r="155" spans="1:25" x14ac:dyDescent="0.3">
      <c r="A155">
        <v>154</v>
      </c>
      <c r="B155" t="s">
        <v>293</v>
      </c>
      <c r="C155" t="s">
        <v>294</v>
      </c>
      <c r="D155" t="s">
        <v>54</v>
      </c>
      <c r="E155" t="s">
        <v>28</v>
      </c>
      <c r="F155">
        <v>3</v>
      </c>
      <c r="G155">
        <v>120</v>
      </c>
      <c r="H155">
        <v>360</v>
      </c>
      <c r="I155">
        <v>50</v>
      </c>
      <c r="J155">
        <v>150</v>
      </c>
      <c r="K155">
        <v>210</v>
      </c>
      <c r="L155" t="s">
        <v>37</v>
      </c>
      <c r="M155" t="s">
        <v>30</v>
      </c>
      <c r="N155" t="s">
        <v>31</v>
      </c>
      <c r="O155">
        <v>37.96</v>
      </c>
      <c r="P155">
        <v>45.29</v>
      </c>
      <c r="Q155">
        <v>7.36</v>
      </c>
      <c r="R155">
        <v>27.52</v>
      </c>
      <c r="S155">
        <v>4.1500000000000004</v>
      </c>
      <c r="T155">
        <v>7.38</v>
      </c>
      <c r="U155">
        <v>2.16</v>
      </c>
      <c r="V155">
        <v>1.66</v>
      </c>
      <c r="W155">
        <v>76.52</v>
      </c>
      <c r="X155" t="s">
        <v>32</v>
      </c>
      <c r="Y155" t="s">
        <v>33</v>
      </c>
    </row>
    <row r="156" spans="1:25" x14ac:dyDescent="0.3">
      <c r="A156">
        <v>155</v>
      </c>
      <c r="B156" t="s">
        <v>295</v>
      </c>
      <c r="C156" t="s">
        <v>296</v>
      </c>
      <c r="D156" t="s">
        <v>43</v>
      </c>
      <c r="E156" t="s">
        <v>43</v>
      </c>
      <c r="F156">
        <v>1</v>
      </c>
      <c r="G156">
        <v>80</v>
      </c>
      <c r="H156">
        <v>80</v>
      </c>
      <c r="I156">
        <v>30</v>
      </c>
      <c r="J156">
        <v>30</v>
      </c>
      <c r="K156">
        <v>50</v>
      </c>
      <c r="L156" t="s">
        <v>44</v>
      </c>
      <c r="M156" t="s">
        <v>56</v>
      </c>
      <c r="N156" t="s">
        <v>39</v>
      </c>
      <c r="O156">
        <v>10.94</v>
      </c>
      <c r="P156">
        <v>58.4</v>
      </c>
      <c r="Q156">
        <v>6.79</v>
      </c>
      <c r="R156">
        <v>6.35</v>
      </c>
      <c r="S156">
        <v>4.8099999999999996</v>
      </c>
      <c r="T156">
        <v>11.58</v>
      </c>
      <c r="U156">
        <v>7.63</v>
      </c>
      <c r="V156">
        <v>1.1399999999999999</v>
      </c>
      <c r="W156">
        <v>-57.64</v>
      </c>
      <c r="X156" t="s">
        <v>57</v>
      </c>
      <c r="Y156" t="s">
        <v>40</v>
      </c>
    </row>
    <row r="157" spans="1:25" x14ac:dyDescent="0.3">
      <c r="A157">
        <v>156</v>
      </c>
      <c r="B157" t="s">
        <v>174</v>
      </c>
      <c r="C157" t="s">
        <v>297</v>
      </c>
      <c r="D157" t="s">
        <v>109</v>
      </c>
      <c r="E157" t="s">
        <v>50</v>
      </c>
      <c r="F157">
        <v>3</v>
      </c>
      <c r="G157">
        <v>150</v>
      </c>
      <c r="H157">
        <v>450</v>
      </c>
      <c r="I157">
        <v>70</v>
      </c>
      <c r="J157">
        <v>210</v>
      </c>
      <c r="K157">
        <v>240</v>
      </c>
      <c r="L157" t="s">
        <v>44</v>
      </c>
      <c r="M157" t="s">
        <v>63</v>
      </c>
      <c r="N157" t="s">
        <v>51</v>
      </c>
      <c r="O157">
        <v>22.73</v>
      </c>
      <c r="P157">
        <v>39.090000000000003</v>
      </c>
      <c r="Q157">
        <v>8.91</v>
      </c>
      <c r="R157">
        <v>8.19</v>
      </c>
      <c r="S157">
        <v>1.41</v>
      </c>
      <c r="T157">
        <v>2.33</v>
      </c>
      <c r="U157">
        <v>3.01</v>
      </c>
      <c r="V157">
        <v>2.78</v>
      </c>
      <c r="W157">
        <v>151.55000000000001</v>
      </c>
      <c r="X157" t="s">
        <v>66</v>
      </c>
      <c r="Y157" t="s">
        <v>33</v>
      </c>
    </row>
    <row r="158" spans="1:25" x14ac:dyDescent="0.3">
      <c r="A158">
        <v>157</v>
      </c>
      <c r="B158" t="s">
        <v>298</v>
      </c>
      <c r="C158" t="s">
        <v>98</v>
      </c>
      <c r="D158" t="s">
        <v>36</v>
      </c>
      <c r="E158" t="s">
        <v>28</v>
      </c>
      <c r="F158">
        <v>4</v>
      </c>
      <c r="G158">
        <v>220</v>
      </c>
      <c r="H158">
        <v>880</v>
      </c>
      <c r="I158">
        <v>100</v>
      </c>
      <c r="J158">
        <v>400</v>
      </c>
      <c r="K158">
        <v>480</v>
      </c>
      <c r="L158" t="s">
        <v>86</v>
      </c>
      <c r="M158" t="s">
        <v>63</v>
      </c>
      <c r="N158" t="s">
        <v>90</v>
      </c>
      <c r="O158">
        <v>34.04</v>
      </c>
      <c r="P158">
        <v>54.9</v>
      </c>
      <c r="Q158">
        <v>9.4700000000000006</v>
      </c>
      <c r="R158">
        <v>29.75</v>
      </c>
      <c r="S158">
        <v>1.88</v>
      </c>
      <c r="T158">
        <v>7.47</v>
      </c>
      <c r="U158">
        <v>2.44</v>
      </c>
      <c r="V158">
        <v>1.46</v>
      </c>
      <c r="W158">
        <v>338.59</v>
      </c>
      <c r="X158" t="s">
        <v>32</v>
      </c>
      <c r="Y158" t="s">
        <v>40</v>
      </c>
    </row>
    <row r="159" spans="1:25" x14ac:dyDescent="0.3">
      <c r="A159">
        <v>158</v>
      </c>
      <c r="B159" t="s">
        <v>135</v>
      </c>
      <c r="C159" t="s">
        <v>299</v>
      </c>
      <c r="D159" t="s">
        <v>62</v>
      </c>
      <c r="E159" t="s">
        <v>28</v>
      </c>
      <c r="F159">
        <v>2</v>
      </c>
      <c r="G159">
        <v>250</v>
      </c>
      <c r="H159">
        <v>500</v>
      </c>
      <c r="I159">
        <v>110</v>
      </c>
      <c r="J159">
        <v>220</v>
      </c>
      <c r="K159">
        <v>280</v>
      </c>
      <c r="L159" t="s">
        <v>44</v>
      </c>
      <c r="M159" t="s">
        <v>63</v>
      </c>
      <c r="N159" t="s">
        <v>90</v>
      </c>
      <c r="O159">
        <v>33.869999999999997</v>
      </c>
      <c r="P159">
        <v>36.130000000000003</v>
      </c>
      <c r="Q159">
        <v>12.76</v>
      </c>
      <c r="R159">
        <v>24.63</v>
      </c>
      <c r="S159">
        <v>1.7</v>
      </c>
      <c r="T159">
        <v>5.85</v>
      </c>
      <c r="U159">
        <v>4.87</v>
      </c>
      <c r="V159">
        <v>2.98</v>
      </c>
      <c r="W159">
        <v>157.21</v>
      </c>
      <c r="X159" t="s">
        <v>66</v>
      </c>
      <c r="Y159" t="s">
        <v>40</v>
      </c>
    </row>
    <row r="160" spans="1:25" x14ac:dyDescent="0.3">
      <c r="A160">
        <v>159</v>
      </c>
      <c r="B160" t="s">
        <v>300</v>
      </c>
      <c r="C160" t="s">
        <v>136</v>
      </c>
      <c r="D160" t="s">
        <v>36</v>
      </c>
      <c r="E160" t="s">
        <v>28</v>
      </c>
      <c r="F160">
        <v>4</v>
      </c>
      <c r="G160">
        <v>220</v>
      </c>
      <c r="H160">
        <v>880</v>
      </c>
      <c r="I160">
        <v>100</v>
      </c>
      <c r="J160">
        <v>400</v>
      </c>
      <c r="K160">
        <v>480</v>
      </c>
      <c r="L160" t="s">
        <v>44</v>
      </c>
      <c r="M160" t="s">
        <v>63</v>
      </c>
      <c r="N160" t="s">
        <v>81</v>
      </c>
      <c r="O160">
        <v>15.82</v>
      </c>
      <c r="P160">
        <v>59.81</v>
      </c>
      <c r="Q160">
        <v>8.84</v>
      </c>
      <c r="R160">
        <v>14.87</v>
      </c>
      <c r="S160">
        <v>2.37</v>
      </c>
      <c r="T160">
        <v>3.91</v>
      </c>
      <c r="U160">
        <v>5.28</v>
      </c>
      <c r="V160">
        <v>2.59</v>
      </c>
      <c r="W160">
        <v>366.51</v>
      </c>
      <c r="X160" t="s">
        <v>66</v>
      </c>
      <c r="Y160" t="s">
        <v>33</v>
      </c>
    </row>
    <row r="161" spans="1:25" x14ac:dyDescent="0.3">
      <c r="A161">
        <v>160</v>
      </c>
      <c r="B161" t="s">
        <v>301</v>
      </c>
      <c r="C161" t="s">
        <v>53</v>
      </c>
      <c r="D161" t="s">
        <v>43</v>
      </c>
      <c r="E161" t="s">
        <v>43</v>
      </c>
      <c r="F161">
        <v>2</v>
      </c>
      <c r="G161">
        <v>80</v>
      </c>
      <c r="H161">
        <v>160</v>
      </c>
      <c r="I161">
        <v>30</v>
      </c>
      <c r="J161">
        <v>60</v>
      </c>
      <c r="K161">
        <v>100</v>
      </c>
      <c r="L161" t="s">
        <v>29</v>
      </c>
      <c r="M161" t="s">
        <v>56</v>
      </c>
      <c r="N161" t="s">
        <v>31</v>
      </c>
      <c r="O161">
        <v>34.51</v>
      </c>
      <c r="P161">
        <v>55.57</v>
      </c>
      <c r="Q161">
        <v>8.76</v>
      </c>
      <c r="R161">
        <v>4.16</v>
      </c>
      <c r="S161">
        <v>2.21</v>
      </c>
      <c r="T161">
        <v>4.82</v>
      </c>
      <c r="U161">
        <v>2.79</v>
      </c>
      <c r="V161">
        <v>0.38</v>
      </c>
      <c r="W161">
        <v>-13.2</v>
      </c>
      <c r="X161" t="s">
        <v>32</v>
      </c>
      <c r="Y161" t="s">
        <v>40</v>
      </c>
    </row>
    <row r="162" spans="1:25" x14ac:dyDescent="0.3">
      <c r="A162">
        <v>161</v>
      </c>
      <c r="B162" t="s">
        <v>302</v>
      </c>
      <c r="C162" t="s">
        <v>224</v>
      </c>
      <c r="D162" t="s">
        <v>89</v>
      </c>
      <c r="E162" t="s">
        <v>28</v>
      </c>
      <c r="F162">
        <v>3</v>
      </c>
      <c r="G162">
        <v>180</v>
      </c>
      <c r="H162">
        <v>540</v>
      </c>
      <c r="I162">
        <v>75</v>
      </c>
      <c r="J162">
        <v>225</v>
      </c>
      <c r="K162">
        <v>315</v>
      </c>
      <c r="L162" t="s">
        <v>29</v>
      </c>
      <c r="M162" t="s">
        <v>56</v>
      </c>
      <c r="N162" t="s">
        <v>31</v>
      </c>
      <c r="O162">
        <v>15.11</v>
      </c>
      <c r="P162">
        <v>28.14</v>
      </c>
      <c r="Q162">
        <v>14.53</v>
      </c>
      <c r="R162">
        <v>12.82</v>
      </c>
      <c r="S162">
        <v>1.85</v>
      </c>
      <c r="T162">
        <v>9.68</v>
      </c>
      <c r="U162">
        <v>1.59</v>
      </c>
      <c r="V162">
        <v>0.77</v>
      </c>
      <c r="W162">
        <v>230.51</v>
      </c>
      <c r="X162" t="s">
        <v>57</v>
      </c>
      <c r="Y162" t="s">
        <v>40</v>
      </c>
    </row>
    <row r="163" spans="1:25" x14ac:dyDescent="0.3">
      <c r="A163">
        <v>162</v>
      </c>
      <c r="B163" t="s">
        <v>145</v>
      </c>
      <c r="C163" t="s">
        <v>146</v>
      </c>
      <c r="D163" t="s">
        <v>43</v>
      </c>
      <c r="E163" t="s">
        <v>43</v>
      </c>
      <c r="F163">
        <v>4</v>
      </c>
      <c r="G163">
        <v>80</v>
      </c>
      <c r="H163">
        <v>320</v>
      </c>
      <c r="I163">
        <v>30</v>
      </c>
      <c r="J163">
        <v>120</v>
      </c>
      <c r="K163">
        <v>200</v>
      </c>
      <c r="L163" t="s">
        <v>29</v>
      </c>
      <c r="M163" t="s">
        <v>45</v>
      </c>
      <c r="N163" t="s">
        <v>51</v>
      </c>
      <c r="O163">
        <v>38.71</v>
      </c>
      <c r="P163">
        <v>37.89</v>
      </c>
      <c r="Q163">
        <v>10.66</v>
      </c>
      <c r="R163">
        <v>31.9</v>
      </c>
      <c r="S163">
        <v>1.03</v>
      </c>
      <c r="T163">
        <v>3.2</v>
      </c>
      <c r="U163">
        <v>6.76</v>
      </c>
      <c r="V163">
        <v>1.73</v>
      </c>
      <c r="W163">
        <v>68.12</v>
      </c>
      <c r="X163" t="s">
        <v>66</v>
      </c>
      <c r="Y163" t="s">
        <v>33</v>
      </c>
    </row>
    <row r="164" spans="1:25" x14ac:dyDescent="0.3">
      <c r="A164">
        <v>163</v>
      </c>
      <c r="B164" t="s">
        <v>227</v>
      </c>
      <c r="C164" t="s">
        <v>76</v>
      </c>
      <c r="D164" t="s">
        <v>49</v>
      </c>
      <c r="E164" t="s">
        <v>50</v>
      </c>
      <c r="F164">
        <v>3</v>
      </c>
      <c r="G164">
        <v>180</v>
      </c>
      <c r="H164">
        <v>540</v>
      </c>
      <c r="I164">
        <v>90</v>
      </c>
      <c r="J164">
        <v>270</v>
      </c>
      <c r="K164">
        <v>270</v>
      </c>
      <c r="L164" t="s">
        <v>55</v>
      </c>
      <c r="M164" t="s">
        <v>30</v>
      </c>
      <c r="N164" t="s">
        <v>31</v>
      </c>
      <c r="O164">
        <v>25.21</v>
      </c>
      <c r="P164">
        <v>18.829999999999998</v>
      </c>
      <c r="Q164">
        <v>10.42</v>
      </c>
      <c r="R164">
        <v>25.86</v>
      </c>
      <c r="S164">
        <v>2.57</v>
      </c>
      <c r="T164">
        <v>10.74</v>
      </c>
      <c r="U164">
        <v>4.67</v>
      </c>
      <c r="V164">
        <v>1.31</v>
      </c>
      <c r="W164">
        <v>170.39</v>
      </c>
      <c r="X164" t="s">
        <v>32</v>
      </c>
      <c r="Y164" t="s">
        <v>33</v>
      </c>
    </row>
    <row r="165" spans="1:25" x14ac:dyDescent="0.3">
      <c r="A165">
        <v>164</v>
      </c>
      <c r="B165" t="s">
        <v>303</v>
      </c>
      <c r="C165" t="s">
        <v>304</v>
      </c>
      <c r="D165" t="s">
        <v>27</v>
      </c>
      <c r="E165" t="s">
        <v>28</v>
      </c>
      <c r="F165">
        <v>2</v>
      </c>
      <c r="G165">
        <v>200</v>
      </c>
      <c r="H165">
        <v>400</v>
      </c>
      <c r="I165">
        <v>90</v>
      </c>
      <c r="J165">
        <v>180</v>
      </c>
      <c r="K165">
        <v>220</v>
      </c>
      <c r="L165" t="s">
        <v>86</v>
      </c>
      <c r="M165" t="s">
        <v>45</v>
      </c>
      <c r="N165" t="s">
        <v>90</v>
      </c>
      <c r="O165">
        <v>10.66</v>
      </c>
      <c r="P165">
        <v>18.16</v>
      </c>
      <c r="Q165">
        <v>7.19</v>
      </c>
      <c r="R165">
        <v>16.7</v>
      </c>
      <c r="S165">
        <v>1.83</v>
      </c>
      <c r="T165">
        <v>14.46</v>
      </c>
      <c r="U165">
        <v>2.99</v>
      </c>
      <c r="V165">
        <v>2.02</v>
      </c>
      <c r="W165">
        <v>145.99</v>
      </c>
      <c r="X165" t="s">
        <v>57</v>
      </c>
      <c r="Y165" t="s">
        <v>33</v>
      </c>
    </row>
    <row r="166" spans="1:25" x14ac:dyDescent="0.3">
      <c r="A166">
        <v>165</v>
      </c>
      <c r="B166" t="s">
        <v>209</v>
      </c>
      <c r="C166" t="s">
        <v>305</v>
      </c>
      <c r="D166" t="s">
        <v>49</v>
      </c>
      <c r="E166" t="s">
        <v>50</v>
      </c>
      <c r="F166">
        <v>1</v>
      </c>
      <c r="G166">
        <v>180</v>
      </c>
      <c r="H166">
        <v>180</v>
      </c>
      <c r="I166">
        <v>90</v>
      </c>
      <c r="J166">
        <v>90</v>
      </c>
      <c r="K166">
        <v>90</v>
      </c>
      <c r="L166" t="s">
        <v>37</v>
      </c>
      <c r="M166" t="s">
        <v>30</v>
      </c>
      <c r="N166" t="s">
        <v>90</v>
      </c>
      <c r="O166">
        <v>10.58</v>
      </c>
      <c r="P166">
        <v>47.28</v>
      </c>
      <c r="Q166">
        <v>5.59</v>
      </c>
      <c r="R166">
        <v>17.239999999999998</v>
      </c>
      <c r="S166">
        <v>1.65</v>
      </c>
      <c r="T166">
        <v>10.35</v>
      </c>
      <c r="U166">
        <v>7.24</v>
      </c>
      <c r="V166">
        <v>0.05</v>
      </c>
      <c r="W166">
        <v>-9.98</v>
      </c>
      <c r="X166" t="s">
        <v>57</v>
      </c>
      <c r="Y166" t="s">
        <v>33</v>
      </c>
    </row>
    <row r="167" spans="1:25" x14ac:dyDescent="0.3">
      <c r="A167">
        <v>166</v>
      </c>
      <c r="B167" t="s">
        <v>268</v>
      </c>
      <c r="C167" t="s">
        <v>181</v>
      </c>
      <c r="D167" t="s">
        <v>109</v>
      </c>
      <c r="E167" t="s">
        <v>50</v>
      </c>
      <c r="F167">
        <v>1</v>
      </c>
      <c r="G167">
        <v>150</v>
      </c>
      <c r="H167">
        <v>150</v>
      </c>
      <c r="I167">
        <v>70</v>
      </c>
      <c r="J167">
        <v>70</v>
      </c>
      <c r="K167">
        <v>80</v>
      </c>
      <c r="L167" t="s">
        <v>86</v>
      </c>
      <c r="M167" t="s">
        <v>56</v>
      </c>
      <c r="N167" t="s">
        <v>39</v>
      </c>
      <c r="O167">
        <v>31.41</v>
      </c>
      <c r="P167">
        <v>47.92</v>
      </c>
      <c r="Q167">
        <v>18.78</v>
      </c>
      <c r="R167">
        <v>7.07</v>
      </c>
      <c r="S167">
        <v>4</v>
      </c>
      <c r="T167">
        <v>10.94</v>
      </c>
      <c r="U167">
        <v>4.67</v>
      </c>
      <c r="V167">
        <v>0.25</v>
      </c>
      <c r="W167">
        <v>-45.04</v>
      </c>
      <c r="X167" t="s">
        <v>57</v>
      </c>
      <c r="Y167" t="s">
        <v>40</v>
      </c>
    </row>
    <row r="168" spans="1:25" x14ac:dyDescent="0.3">
      <c r="A168">
        <v>167</v>
      </c>
      <c r="B168" t="s">
        <v>97</v>
      </c>
      <c r="C168" t="s">
        <v>61</v>
      </c>
      <c r="D168" t="s">
        <v>49</v>
      </c>
      <c r="E168" t="s">
        <v>50</v>
      </c>
      <c r="F168">
        <v>4</v>
      </c>
      <c r="G168">
        <v>180</v>
      </c>
      <c r="H168">
        <v>720</v>
      </c>
      <c r="I168">
        <v>90</v>
      </c>
      <c r="J168">
        <v>360</v>
      </c>
      <c r="K168">
        <v>360</v>
      </c>
      <c r="L168" t="s">
        <v>44</v>
      </c>
      <c r="M168" t="s">
        <v>38</v>
      </c>
      <c r="N168" t="s">
        <v>39</v>
      </c>
      <c r="O168">
        <v>30.46</v>
      </c>
      <c r="P168">
        <v>35.619999999999997</v>
      </c>
      <c r="Q168">
        <v>9.4600000000000009</v>
      </c>
      <c r="R168">
        <v>8.4600000000000009</v>
      </c>
      <c r="S168">
        <v>2.48</v>
      </c>
      <c r="T168">
        <v>12.77</v>
      </c>
      <c r="U168">
        <v>3.85</v>
      </c>
      <c r="V168">
        <v>0.21</v>
      </c>
      <c r="W168">
        <v>256.69</v>
      </c>
      <c r="X168" t="s">
        <v>57</v>
      </c>
      <c r="Y168" t="s">
        <v>33</v>
      </c>
    </row>
    <row r="169" spans="1:25" x14ac:dyDescent="0.3">
      <c r="A169">
        <v>168</v>
      </c>
      <c r="B169" t="s">
        <v>306</v>
      </c>
      <c r="C169" t="s">
        <v>136</v>
      </c>
      <c r="D169" t="s">
        <v>109</v>
      </c>
      <c r="E169" t="s">
        <v>50</v>
      </c>
      <c r="F169">
        <v>3</v>
      </c>
      <c r="G169">
        <v>150</v>
      </c>
      <c r="H169">
        <v>450</v>
      </c>
      <c r="I169">
        <v>70</v>
      </c>
      <c r="J169">
        <v>210</v>
      </c>
      <c r="K169">
        <v>240</v>
      </c>
      <c r="L169" t="s">
        <v>55</v>
      </c>
      <c r="M169" t="s">
        <v>63</v>
      </c>
      <c r="N169" t="s">
        <v>90</v>
      </c>
      <c r="O169">
        <v>19.3</v>
      </c>
      <c r="P169">
        <v>25.01</v>
      </c>
      <c r="Q169">
        <v>11.11</v>
      </c>
      <c r="R169">
        <v>15.74</v>
      </c>
      <c r="S169">
        <v>0.18</v>
      </c>
      <c r="T169">
        <v>4.4800000000000004</v>
      </c>
      <c r="U169">
        <v>3.36</v>
      </c>
      <c r="V169">
        <v>1.82</v>
      </c>
      <c r="W169">
        <v>159</v>
      </c>
      <c r="X169" t="s">
        <v>32</v>
      </c>
      <c r="Y169" t="s">
        <v>33</v>
      </c>
    </row>
    <row r="170" spans="1:25" x14ac:dyDescent="0.3">
      <c r="A170">
        <v>169</v>
      </c>
      <c r="B170" t="s">
        <v>307</v>
      </c>
      <c r="C170" t="s">
        <v>308</v>
      </c>
      <c r="D170" t="s">
        <v>36</v>
      </c>
      <c r="E170" t="s">
        <v>28</v>
      </c>
      <c r="F170">
        <v>4</v>
      </c>
      <c r="G170">
        <v>220</v>
      </c>
      <c r="H170">
        <v>880</v>
      </c>
      <c r="I170">
        <v>100</v>
      </c>
      <c r="J170">
        <v>400</v>
      </c>
      <c r="K170">
        <v>480</v>
      </c>
      <c r="L170" t="s">
        <v>29</v>
      </c>
      <c r="M170" t="s">
        <v>63</v>
      </c>
      <c r="N170" t="s">
        <v>90</v>
      </c>
      <c r="O170">
        <v>18.559999999999999</v>
      </c>
      <c r="P170">
        <v>52.9</v>
      </c>
      <c r="Q170">
        <v>6.03</v>
      </c>
      <c r="R170">
        <v>34.03</v>
      </c>
      <c r="S170">
        <v>1.69</v>
      </c>
      <c r="T170">
        <v>10.6</v>
      </c>
      <c r="U170">
        <v>6.23</v>
      </c>
      <c r="V170">
        <v>0.99</v>
      </c>
      <c r="W170">
        <v>348.97</v>
      </c>
      <c r="X170" t="s">
        <v>32</v>
      </c>
      <c r="Y170" t="s">
        <v>33</v>
      </c>
    </row>
    <row r="171" spans="1:25" x14ac:dyDescent="0.3">
      <c r="A171">
        <v>170</v>
      </c>
      <c r="B171" t="s">
        <v>309</v>
      </c>
      <c r="C171" t="s">
        <v>310</v>
      </c>
      <c r="D171" t="s">
        <v>27</v>
      </c>
      <c r="E171" t="s">
        <v>28</v>
      </c>
      <c r="F171">
        <v>3</v>
      </c>
      <c r="G171">
        <v>200</v>
      </c>
      <c r="H171">
        <v>600</v>
      </c>
      <c r="I171">
        <v>90</v>
      </c>
      <c r="J171">
        <v>270</v>
      </c>
      <c r="K171">
        <v>330</v>
      </c>
      <c r="L171" t="s">
        <v>29</v>
      </c>
      <c r="M171" t="s">
        <v>38</v>
      </c>
      <c r="N171" t="s">
        <v>39</v>
      </c>
      <c r="O171">
        <v>12.7</v>
      </c>
      <c r="P171">
        <v>57.8</v>
      </c>
      <c r="Q171">
        <v>16.32</v>
      </c>
      <c r="R171">
        <v>17.22</v>
      </c>
      <c r="S171">
        <v>4.1900000000000004</v>
      </c>
      <c r="T171">
        <v>8.14</v>
      </c>
      <c r="U171">
        <v>2.06</v>
      </c>
      <c r="V171">
        <v>0.6</v>
      </c>
      <c r="W171">
        <v>210.97</v>
      </c>
      <c r="X171" t="s">
        <v>66</v>
      </c>
      <c r="Y171" t="s">
        <v>40</v>
      </c>
    </row>
    <row r="172" spans="1:25" x14ac:dyDescent="0.3">
      <c r="A172">
        <v>171</v>
      </c>
      <c r="B172" t="s">
        <v>214</v>
      </c>
      <c r="C172" t="s">
        <v>234</v>
      </c>
      <c r="D172" t="s">
        <v>62</v>
      </c>
      <c r="E172" t="s">
        <v>28</v>
      </c>
      <c r="F172">
        <v>2</v>
      </c>
      <c r="G172">
        <v>250</v>
      </c>
      <c r="H172">
        <v>500</v>
      </c>
      <c r="I172">
        <v>110</v>
      </c>
      <c r="J172">
        <v>220</v>
      </c>
      <c r="K172">
        <v>280</v>
      </c>
      <c r="L172" t="s">
        <v>55</v>
      </c>
      <c r="M172" t="s">
        <v>30</v>
      </c>
      <c r="N172" t="s">
        <v>81</v>
      </c>
      <c r="O172">
        <v>34.81</v>
      </c>
      <c r="P172">
        <v>33.22</v>
      </c>
      <c r="Q172">
        <v>16.62</v>
      </c>
      <c r="R172">
        <v>2.17</v>
      </c>
      <c r="S172">
        <v>0.45</v>
      </c>
      <c r="T172">
        <v>12</v>
      </c>
      <c r="U172">
        <v>3.21</v>
      </c>
      <c r="V172">
        <v>2.5299999999999998</v>
      </c>
      <c r="W172">
        <v>174.99</v>
      </c>
      <c r="X172" t="s">
        <v>66</v>
      </c>
      <c r="Y172" t="s">
        <v>40</v>
      </c>
    </row>
    <row r="173" spans="1:25" x14ac:dyDescent="0.3">
      <c r="A173">
        <v>172</v>
      </c>
      <c r="B173" t="s">
        <v>107</v>
      </c>
      <c r="C173" t="s">
        <v>311</v>
      </c>
      <c r="D173" t="s">
        <v>109</v>
      </c>
      <c r="E173" t="s">
        <v>50</v>
      </c>
      <c r="F173">
        <v>2</v>
      </c>
      <c r="G173">
        <v>150</v>
      </c>
      <c r="H173">
        <v>300</v>
      </c>
      <c r="I173">
        <v>70</v>
      </c>
      <c r="J173">
        <v>140</v>
      </c>
      <c r="K173">
        <v>160</v>
      </c>
      <c r="L173" t="s">
        <v>29</v>
      </c>
      <c r="M173" t="s">
        <v>63</v>
      </c>
      <c r="N173" t="s">
        <v>39</v>
      </c>
      <c r="O173">
        <v>18.41</v>
      </c>
      <c r="P173">
        <v>27.35</v>
      </c>
      <c r="Q173">
        <v>17.489999999999998</v>
      </c>
      <c r="R173">
        <v>25.82</v>
      </c>
      <c r="S173">
        <v>3.52</v>
      </c>
      <c r="T173">
        <v>2.4</v>
      </c>
      <c r="U173">
        <v>6.45</v>
      </c>
      <c r="V173">
        <v>1.54</v>
      </c>
      <c r="W173">
        <v>57.02</v>
      </c>
      <c r="X173" t="s">
        <v>66</v>
      </c>
      <c r="Y173" t="s">
        <v>40</v>
      </c>
    </row>
    <row r="174" spans="1:25" x14ac:dyDescent="0.3">
      <c r="A174">
        <v>173</v>
      </c>
      <c r="B174" t="s">
        <v>312</v>
      </c>
      <c r="C174" t="s">
        <v>313</v>
      </c>
      <c r="D174" t="s">
        <v>89</v>
      </c>
      <c r="E174" t="s">
        <v>28</v>
      </c>
      <c r="F174">
        <v>3</v>
      </c>
      <c r="G174">
        <v>180</v>
      </c>
      <c r="H174">
        <v>540</v>
      </c>
      <c r="I174">
        <v>75</v>
      </c>
      <c r="J174">
        <v>225</v>
      </c>
      <c r="K174">
        <v>315</v>
      </c>
      <c r="L174" t="s">
        <v>37</v>
      </c>
      <c r="M174" t="s">
        <v>38</v>
      </c>
      <c r="N174" t="s">
        <v>31</v>
      </c>
      <c r="O174">
        <v>13.77</v>
      </c>
      <c r="P174">
        <v>59.85</v>
      </c>
      <c r="Q174">
        <v>16.350000000000001</v>
      </c>
      <c r="R174">
        <v>22.68</v>
      </c>
      <c r="S174">
        <v>3.61</v>
      </c>
      <c r="T174">
        <v>13.69</v>
      </c>
      <c r="U174">
        <v>7.48</v>
      </c>
      <c r="V174">
        <v>0.16</v>
      </c>
      <c r="W174">
        <v>177.41</v>
      </c>
      <c r="X174" t="s">
        <v>66</v>
      </c>
      <c r="Y174" t="s">
        <v>33</v>
      </c>
    </row>
    <row r="175" spans="1:25" x14ac:dyDescent="0.3">
      <c r="A175">
        <v>174</v>
      </c>
      <c r="B175" t="s">
        <v>314</v>
      </c>
      <c r="C175" t="s">
        <v>275</v>
      </c>
      <c r="D175" t="s">
        <v>43</v>
      </c>
      <c r="E175" t="s">
        <v>43</v>
      </c>
      <c r="F175">
        <v>4</v>
      </c>
      <c r="G175">
        <v>80</v>
      </c>
      <c r="H175">
        <v>320</v>
      </c>
      <c r="I175">
        <v>30</v>
      </c>
      <c r="J175">
        <v>120</v>
      </c>
      <c r="K175">
        <v>200</v>
      </c>
      <c r="L175" t="s">
        <v>37</v>
      </c>
      <c r="M175" t="s">
        <v>38</v>
      </c>
      <c r="N175" t="s">
        <v>39</v>
      </c>
      <c r="O175">
        <v>13.62</v>
      </c>
      <c r="P175">
        <v>46.09</v>
      </c>
      <c r="Q175">
        <v>15.27</v>
      </c>
      <c r="R175">
        <v>16.21</v>
      </c>
      <c r="S175">
        <v>2.42</v>
      </c>
      <c r="T175">
        <v>12.39</v>
      </c>
      <c r="U175">
        <v>6.43</v>
      </c>
      <c r="V175">
        <v>1.55</v>
      </c>
      <c r="W175">
        <v>86.02</v>
      </c>
      <c r="X175" t="s">
        <v>57</v>
      </c>
      <c r="Y175" t="s">
        <v>33</v>
      </c>
    </row>
    <row r="176" spans="1:25" x14ac:dyDescent="0.3">
      <c r="A176">
        <v>175</v>
      </c>
      <c r="B176" t="s">
        <v>219</v>
      </c>
      <c r="C176" t="s">
        <v>315</v>
      </c>
      <c r="D176" t="s">
        <v>54</v>
      </c>
      <c r="E176" t="s">
        <v>28</v>
      </c>
      <c r="F176">
        <v>3</v>
      </c>
      <c r="G176">
        <v>120</v>
      </c>
      <c r="H176">
        <v>360</v>
      </c>
      <c r="I176">
        <v>50</v>
      </c>
      <c r="J176">
        <v>150</v>
      </c>
      <c r="K176">
        <v>210</v>
      </c>
      <c r="L176" t="s">
        <v>37</v>
      </c>
      <c r="M176" t="s">
        <v>45</v>
      </c>
      <c r="N176" t="s">
        <v>81</v>
      </c>
      <c r="O176">
        <v>22.1</v>
      </c>
      <c r="P176">
        <v>15.48</v>
      </c>
      <c r="Q176">
        <v>9.48</v>
      </c>
      <c r="R176">
        <v>33.450000000000003</v>
      </c>
      <c r="S176">
        <v>0.15</v>
      </c>
      <c r="T176">
        <v>2.11</v>
      </c>
      <c r="U176">
        <v>4.37</v>
      </c>
      <c r="V176">
        <v>1.67</v>
      </c>
      <c r="W176">
        <v>121.19</v>
      </c>
      <c r="X176" t="s">
        <v>57</v>
      </c>
      <c r="Y176" t="s">
        <v>33</v>
      </c>
    </row>
    <row r="177" spans="1:25" x14ac:dyDescent="0.3">
      <c r="A177">
        <v>176</v>
      </c>
      <c r="B177" t="s">
        <v>207</v>
      </c>
      <c r="C177" t="s">
        <v>316</v>
      </c>
      <c r="D177" t="s">
        <v>109</v>
      </c>
      <c r="E177" t="s">
        <v>50</v>
      </c>
      <c r="F177">
        <v>2</v>
      </c>
      <c r="G177">
        <v>150</v>
      </c>
      <c r="H177">
        <v>300</v>
      </c>
      <c r="I177">
        <v>70</v>
      </c>
      <c r="J177">
        <v>140</v>
      </c>
      <c r="K177">
        <v>160</v>
      </c>
      <c r="L177" t="s">
        <v>86</v>
      </c>
      <c r="M177" t="s">
        <v>45</v>
      </c>
      <c r="N177" t="s">
        <v>46</v>
      </c>
      <c r="O177">
        <v>22.67</v>
      </c>
      <c r="P177">
        <v>53.3</v>
      </c>
      <c r="Q177">
        <v>10.050000000000001</v>
      </c>
      <c r="R177">
        <v>23.45</v>
      </c>
      <c r="S177">
        <v>0.84</v>
      </c>
      <c r="T177">
        <v>6.19</v>
      </c>
      <c r="U177">
        <v>7.41</v>
      </c>
      <c r="V177">
        <v>2.37</v>
      </c>
      <c r="W177">
        <v>33.72</v>
      </c>
      <c r="X177" t="s">
        <v>32</v>
      </c>
      <c r="Y177" t="s">
        <v>40</v>
      </c>
    </row>
    <row r="178" spans="1:25" x14ac:dyDescent="0.3">
      <c r="A178">
        <v>177</v>
      </c>
      <c r="B178" t="s">
        <v>317</v>
      </c>
      <c r="C178" t="s">
        <v>171</v>
      </c>
      <c r="D178" t="s">
        <v>36</v>
      </c>
      <c r="E178" t="s">
        <v>28</v>
      </c>
      <c r="F178">
        <v>3</v>
      </c>
      <c r="G178">
        <v>220</v>
      </c>
      <c r="H178">
        <v>660</v>
      </c>
      <c r="I178">
        <v>100</v>
      </c>
      <c r="J178">
        <v>300</v>
      </c>
      <c r="K178">
        <v>360</v>
      </c>
      <c r="L178" t="s">
        <v>29</v>
      </c>
      <c r="M178" t="s">
        <v>56</v>
      </c>
      <c r="N178" t="s">
        <v>51</v>
      </c>
      <c r="O178">
        <v>37.119999999999997</v>
      </c>
      <c r="P178">
        <v>29.53</v>
      </c>
      <c r="Q178">
        <v>10.36</v>
      </c>
      <c r="R178">
        <v>15.95</v>
      </c>
      <c r="S178">
        <v>3.81</v>
      </c>
      <c r="T178">
        <v>9.7200000000000006</v>
      </c>
      <c r="U178">
        <v>5.51</v>
      </c>
      <c r="V178">
        <v>0.51</v>
      </c>
      <c r="W178">
        <v>247.49</v>
      </c>
      <c r="X178" t="s">
        <v>57</v>
      </c>
      <c r="Y178" t="s">
        <v>40</v>
      </c>
    </row>
    <row r="179" spans="1:25" x14ac:dyDescent="0.3">
      <c r="A179">
        <v>178</v>
      </c>
      <c r="B179" t="s">
        <v>25</v>
      </c>
      <c r="C179" t="s">
        <v>76</v>
      </c>
      <c r="D179" t="s">
        <v>36</v>
      </c>
      <c r="E179" t="s">
        <v>28</v>
      </c>
      <c r="F179">
        <v>3</v>
      </c>
      <c r="G179">
        <v>220</v>
      </c>
      <c r="H179">
        <v>660</v>
      </c>
      <c r="I179">
        <v>100</v>
      </c>
      <c r="J179">
        <v>300</v>
      </c>
      <c r="K179">
        <v>360</v>
      </c>
      <c r="L179" t="s">
        <v>29</v>
      </c>
      <c r="M179" t="s">
        <v>38</v>
      </c>
      <c r="N179" t="s">
        <v>46</v>
      </c>
      <c r="O179">
        <v>15.06</v>
      </c>
      <c r="P179">
        <v>25.19</v>
      </c>
      <c r="Q179">
        <v>17.829999999999998</v>
      </c>
      <c r="R179">
        <v>27.66</v>
      </c>
      <c r="S179">
        <v>2.48</v>
      </c>
      <c r="T179">
        <v>10.16</v>
      </c>
      <c r="U179">
        <v>7.47</v>
      </c>
      <c r="V179">
        <v>0.36</v>
      </c>
      <c r="W179">
        <v>253.79</v>
      </c>
      <c r="X179" t="s">
        <v>32</v>
      </c>
      <c r="Y179" t="s">
        <v>33</v>
      </c>
    </row>
    <row r="180" spans="1:25" x14ac:dyDescent="0.3">
      <c r="A180">
        <v>179</v>
      </c>
      <c r="B180" t="s">
        <v>143</v>
      </c>
      <c r="C180" t="s">
        <v>217</v>
      </c>
      <c r="D180" t="s">
        <v>27</v>
      </c>
      <c r="E180" t="s">
        <v>28</v>
      </c>
      <c r="F180">
        <v>2</v>
      </c>
      <c r="G180">
        <v>200</v>
      </c>
      <c r="H180">
        <v>400</v>
      </c>
      <c r="I180">
        <v>90</v>
      </c>
      <c r="J180">
        <v>180</v>
      </c>
      <c r="K180">
        <v>220</v>
      </c>
      <c r="L180" t="s">
        <v>44</v>
      </c>
      <c r="M180" t="s">
        <v>30</v>
      </c>
      <c r="N180" t="s">
        <v>31</v>
      </c>
      <c r="O180">
        <v>39.11</v>
      </c>
      <c r="P180">
        <v>24.7</v>
      </c>
      <c r="Q180">
        <v>12.55</v>
      </c>
      <c r="R180">
        <v>10.19</v>
      </c>
      <c r="S180">
        <v>2.63</v>
      </c>
      <c r="T180">
        <v>12.67</v>
      </c>
      <c r="U180">
        <v>6.04</v>
      </c>
      <c r="V180">
        <v>2.67</v>
      </c>
      <c r="W180">
        <v>109.44</v>
      </c>
      <c r="X180" t="s">
        <v>57</v>
      </c>
      <c r="Y180" t="s">
        <v>40</v>
      </c>
    </row>
    <row r="181" spans="1:25" x14ac:dyDescent="0.3">
      <c r="A181">
        <v>180</v>
      </c>
      <c r="B181" t="s">
        <v>161</v>
      </c>
      <c r="C181" t="s">
        <v>318</v>
      </c>
      <c r="D181" t="s">
        <v>43</v>
      </c>
      <c r="E181" t="s">
        <v>43</v>
      </c>
      <c r="F181">
        <v>4</v>
      </c>
      <c r="G181">
        <v>80</v>
      </c>
      <c r="H181">
        <v>320</v>
      </c>
      <c r="I181">
        <v>30</v>
      </c>
      <c r="J181">
        <v>120</v>
      </c>
      <c r="K181">
        <v>200</v>
      </c>
      <c r="L181" t="s">
        <v>55</v>
      </c>
      <c r="M181" t="s">
        <v>38</v>
      </c>
      <c r="N181" t="s">
        <v>90</v>
      </c>
      <c r="O181">
        <v>28</v>
      </c>
      <c r="P181">
        <v>53.48</v>
      </c>
      <c r="Q181">
        <v>5.4</v>
      </c>
      <c r="R181">
        <v>32.020000000000003</v>
      </c>
      <c r="S181">
        <v>4.3499999999999996</v>
      </c>
      <c r="T181">
        <v>2.88</v>
      </c>
      <c r="U181">
        <v>7.6</v>
      </c>
      <c r="V181">
        <v>0.34</v>
      </c>
      <c r="W181">
        <v>65.930000000000007</v>
      </c>
      <c r="X181" t="s">
        <v>32</v>
      </c>
      <c r="Y181" t="s">
        <v>33</v>
      </c>
    </row>
    <row r="182" spans="1:25" x14ac:dyDescent="0.3">
      <c r="A182">
        <v>181</v>
      </c>
      <c r="B182" t="s">
        <v>253</v>
      </c>
      <c r="C182" t="s">
        <v>244</v>
      </c>
      <c r="D182" t="s">
        <v>62</v>
      </c>
      <c r="E182" t="s">
        <v>28</v>
      </c>
      <c r="F182">
        <v>3</v>
      </c>
      <c r="G182">
        <v>250</v>
      </c>
      <c r="H182">
        <v>750</v>
      </c>
      <c r="I182">
        <v>110</v>
      </c>
      <c r="J182">
        <v>330</v>
      </c>
      <c r="K182">
        <v>420</v>
      </c>
      <c r="L182" t="s">
        <v>55</v>
      </c>
      <c r="M182" t="s">
        <v>56</v>
      </c>
      <c r="N182" t="s">
        <v>46</v>
      </c>
      <c r="O182">
        <v>14.27</v>
      </c>
      <c r="P182">
        <v>46.1</v>
      </c>
      <c r="Q182">
        <v>14.06</v>
      </c>
      <c r="R182">
        <v>19.329999999999998</v>
      </c>
      <c r="S182">
        <v>2.0499999999999998</v>
      </c>
      <c r="T182">
        <v>10.58</v>
      </c>
      <c r="U182">
        <v>5.36</v>
      </c>
      <c r="V182">
        <v>0.24</v>
      </c>
      <c r="W182">
        <v>308.01</v>
      </c>
      <c r="X182" t="s">
        <v>57</v>
      </c>
      <c r="Y182" t="s">
        <v>33</v>
      </c>
    </row>
    <row r="183" spans="1:25" x14ac:dyDescent="0.3">
      <c r="A183">
        <v>182</v>
      </c>
      <c r="B183" t="s">
        <v>174</v>
      </c>
      <c r="C183" t="s">
        <v>319</v>
      </c>
      <c r="D183" t="s">
        <v>89</v>
      </c>
      <c r="E183" t="s">
        <v>28</v>
      </c>
      <c r="F183">
        <v>3</v>
      </c>
      <c r="G183">
        <v>180</v>
      </c>
      <c r="H183">
        <v>540</v>
      </c>
      <c r="I183">
        <v>75</v>
      </c>
      <c r="J183">
        <v>225</v>
      </c>
      <c r="K183">
        <v>315</v>
      </c>
      <c r="L183" t="s">
        <v>29</v>
      </c>
      <c r="M183" t="s">
        <v>63</v>
      </c>
      <c r="N183" t="s">
        <v>39</v>
      </c>
      <c r="O183">
        <v>26.98</v>
      </c>
      <c r="P183">
        <v>23.44</v>
      </c>
      <c r="Q183">
        <v>7.52</v>
      </c>
      <c r="R183">
        <v>25.37</v>
      </c>
      <c r="S183">
        <v>3.33</v>
      </c>
      <c r="T183">
        <v>14.18</v>
      </c>
      <c r="U183">
        <v>5.72</v>
      </c>
      <c r="V183">
        <v>2.23</v>
      </c>
      <c r="W183">
        <v>206.23</v>
      </c>
      <c r="X183" t="s">
        <v>32</v>
      </c>
      <c r="Y183" t="s">
        <v>40</v>
      </c>
    </row>
    <row r="184" spans="1:25" x14ac:dyDescent="0.3">
      <c r="A184">
        <v>183</v>
      </c>
      <c r="B184" t="s">
        <v>320</v>
      </c>
      <c r="C184" t="s">
        <v>321</v>
      </c>
      <c r="D184" t="s">
        <v>27</v>
      </c>
      <c r="E184" t="s">
        <v>28</v>
      </c>
      <c r="F184">
        <v>2</v>
      </c>
      <c r="G184">
        <v>200</v>
      </c>
      <c r="H184">
        <v>400</v>
      </c>
      <c r="I184">
        <v>90</v>
      </c>
      <c r="J184">
        <v>180</v>
      </c>
      <c r="K184">
        <v>220</v>
      </c>
      <c r="L184" t="s">
        <v>44</v>
      </c>
      <c r="M184" t="s">
        <v>30</v>
      </c>
      <c r="N184" t="s">
        <v>90</v>
      </c>
      <c r="O184">
        <v>27.7</v>
      </c>
      <c r="P184">
        <v>31.74</v>
      </c>
      <c r="Q184">
        <v>18.18</v>
      </c>
      <c r="R184">
        <v>18.989999999999998</v>
      </c>
      <c r="S184">
        <v>2.92</v>
      </c>
      <c r="T184">
        <v>7.87</v>
      </c>
      <c r="U184">
        <v>7.65</v>
      </c>
      <c r="V184">
        <v>0.52</v>
      </c>
      <c r="W184">
        <v>104.43</v>
      </c>
      <c r="X184" t="s">
        <v>57</v>
      </c>
      <c r="Y184" t="s">
        <v>33</v>
      </c>
    </row>
    <row r="185" spans="1:25" x14ac:dyDescent="0.3">
      <c r="A185">
        <v>184</v>
      </c>
      <c r="B185" t="s">
        <v>281</v>
      </c>
      <c r="C185" t="s">
        <v>322</v>
      </c>
      <c r="D185" t="s">
        <v>27</v>
      </c>
      <c r="E185" t="s">
        <v>28</v>
      </c>
      <c r="F185">
        <v>4</v>
      </c>
      <c r="G185">
        <v>200</v>
      </c>
      <c r="H185">
        <v>800</v>
      </c>
      <c r="I185">
        <v>90</v>
      </c>
      <c r="J185">
        <v>360</v>
      </c>
      <c r="K185">
        <v>440</v>
      </c>
      <c r="L185" t="s">
        <v>55</v>
      </c>
      <c r="M185" t="s">
        <v>30</v>
      </c>
      <c r="N185" t="s">
        <v>46</v>
      </c>
      <c r="O185">
        <v>10.42</v>
      </c>
      <c r="P185">
        <v>44.04</v>
      </c>
      <c r="Q185">
        <v>10.91</v>
      </c>
      <c r="R185">
        <v>6.55</v>
      </c>
      <c r="S185">
        <v>0.34</v>
      </c>
      <c r="T185">
        <v>14.99</v>
      </c>
      <c r="U185">
        <v>7.74</v>
      </c>
      <c r="V185">
        <v>2.42</v>
      </c>
      <c r="W185">
        <v>342.59</v>
      </c>
      <c r="X185" t="s">
        <v>66</v>
      </c>
      <c r="Y185" t="s">
        <v>33</v>
      </c>
    </row>
    <row r="186" spans="1:25" x14ac:dyDescent="0.3">
      <c r="A186">
        <v>185</v>
      </c>
      <c r="B186" t="s">
        <v>229</v>
      </c>
      <c r="C186" t="s">
        <v>323</v>
      </c>
      <c r="D186" t="s">
        <v>89</v>
      </c>
      <c r="E186" t="s">
        <v>28</v>
      </c>
      <c r="F186">
        <v>1</v>
      </c>
      <c r="G186">
        <v>180</v>
      </c>
      <c r="H186">
        <v>180</v>
      </c>
      <c r="I186">
        <v>75</v>
      </c>
      <c r="J186">
        <v>75</v>
      </c>
      <c r="K186">
        <v>105</v>
      </c>
      <c r="L186" t="s">
        <v>86</v>
      </c>
      <c r="M186" t="s">
        <v>38</v>
      </c>
      <c r="N186" t="s">
        <v>46</v>
      </c>
      <c r="O186">
        <v>31.48</v>
      </c>
      <c r="P186">
        <v>40</v>
      </c>
      <c r="Q186">
        <v>9.0399999999999991</v>
      </c>
      <c r="R186">
        <v>13.66</v>
      </c>
      <c r="S186">
        <v>4.78</v>
      </c>
      <c r="T186">
        <v>12.25</v>
      </c>
      <c r="U186">
        <v>7.38</v>
      </c>
      <c r="V186">
        <v>0.23</v>
      </c>
      <c r="W186">
        <v>-13.82</v>
      </c>
      <c r="X186" t="s">
        <v>57</v>
      </c>
      <c r="Y186" t="s">
        <v>33</v>
      </c>
    </row>
    <row r="187" spans="1:25" x14ac:dyDescent="0.3">
      <c r="A187">
        <v>186</v>
      </c>
      <c r="B187" t="s">
        <v>312</v>
      </c>
      <c r="C187" t="s">
        <v>324</v>
      </c>
      <c r="D187" t="s">
        <v>89</v>
      </c>
      <c r="E187" t="s">
        <v>28</v>
      </c>
      <c r="F187">
        <v>2</v>
      </c>
      <c r="G187">
        <v>180</v>
      </c>
      <c r="H187">
        <v>360</v>
      </c>
      <c r="I187">
        <v>75</v>
      </c>
      <c r="J187">
        <v>150</v>
      </c>
      <c r="K187">
        <v>210</v>
      </c>
      <c r="L187" t="s">
        <v>37</v>
      </c>
      <c r="M187" t="s">
        <v>38</v>
      </c>
      <c r="N187" t="s">
        <v>90</v>
      </c>
      <c r="O187">
        <v>39.630000000000003</v>
      </c>
      <c r="P187">
        <v>41.09</v>
      </c>
      <c r="Q187">
        <v>13.52</v>
      </c>
      <c r="R187">
        <v>10.18</v>
      </c>
      <c r="S187">
        <v>3.78</v>
      </c>
      <c r="T187">
        <v>5</v>
      </c>
      <c r="U187">
        <v>3.64</v>
      </c>
      <c r="V187">
        <v>0.06</v>
      </c>
      <c r="W187">
        <v>93.1</v>
      </c>
      <c r="X187" t="s">
        <v>32</v>
      </c>
      <c r="Y187" t="s">
        <v>40</v>
      </c>
    </row>
    <row r="188" spans="1:25" x14ac:dyDescent="0.3">
      <c r="A188">
        <v>187</v>
      </c>
      <c r="B188" t="s">
        <v>325</v>
      </c>
      <c r="C188" t="s">
        <v>326</v>
      </c>
      <c r="D188" t="s">
        <v>43</v>
      </c>
      <c r="E188" t="s">
        <v>43</v>
      </c>
      <c r="F188">
        <v>4</v>
      </c>
      <c r="G188">
        <v>80</v>
      </c>
      <c r="H188">
        <v>320</v>
      </c>
      <c r="I188">
        <v>30</v>
      </c>
      <c r="J188">
        <v>120</v>
      </c>
      <c r="K188">
        <v>200</v>
      </c>
      <c r="L188" t="s">
        <v>86</v>
      </c>
      <c r="M188" t="s">
        <v>56</v>
      </c>
      <c r="N188" t="s">
        <v>51</v>
      </c>
      <c r="O188">
        <v>19.91</v>
      </c>
      <c r="P188">
        <v>37.770000000000003</v>
      </c>
      <c r="Q188">
        <v>7.54</v>
      </c>
      <c r="R188">
        <v>13.49</v>
      </c>
      <c r="S188">
        <v>2.8</v>
      </c>
      <c r="T188">
        <v>6.2</v>
      </c>
      <c r="U188">
        <v>7.62</v>
      </c>
      <c r="V188">
        <v>2.2999999999999998</v>
      </c>
      <c r="W188">
        <v>102.37</v>
      </c>
      <c r="X188" t="s">
        <v>57</v>
      </c>
      <c r="Y188" t="s">
        <v>40</v>
      </c>
    </row>
    <row r="189" spans="1:25" x14ac:dyDescent="0.3">
      <c r="A189">
        <v>188</v>
      </c>
      <c r="B189" t="s">
        <v>159</v>
      </c>
      <c r="C189" t="s">
        <v>156</v>
      </c>
      <c r="D189" t="s">
        <v>49</v>
      </c>
      <c r="E189" t="s">
        <v>50</v>
      </c>
      <c r="F189">
        <v>2</v>
      </c>
      <c r="G189">
        <v>180</v>
      </c>
      <c r="H189">
        <v>360</v>
      </c>
      <c r="I189">
        <v>90</v>
      </c>
      <c r="J189">
        <v>180</v>
      </c>
      <c r="K189">
        <v>180</v>
      </c>
      <c r="L189" t="s">
        <v>37</v>
      </c>
      <c r="M189" t="s">
        <v>45</v>
      </c>
      <c r="N189" t="s">
        <v>90</v>
      </c>
      <c r="O189">
        <v>11.82</v>
      </c>
      <c r="P189">
        <v>35.39</v>
      </c>
      <c r="Q189">
        <v>16.93</v>
      </c>
      <c r="R189">
        <v>12.7</v>
      </c>
      <c r="S189">
        <v>1.72</v>
      </c>
      <c r="T189">
        <v>13.76</v>
      </c>
      <c r="U189">
        <v>4.5999999999999996</v>
      </c>
      <c r="V189">
        <v>0.88</v>
      </c>
      <c r="W189">
        <v>82.2</v>
      </c>
      <c r="X189" t="s">
        <v>32</v>
      </c>
      <c r="Y189" t="s">
        <v>40</v>
      </c>
    </row>
    <row r="190" spans="1:25" x14ac:dyDescent="0.3">
      <c r="A190">
        <v>189</v>
      </c>
      <c r="B190" t="s">
        <v>172</v>
      </c>
      <c r="C190" t="s">
        <v>114</v>
      </c>
      <c r="D190" t="s">
        <v>54</v>
      </c>
      <c r="E190" t="s">
        <v>28</v>
      </c>
      <c r="F190">
        <v>1</v>
      </c>
      <c r="G190">
        <v>120</v>
      </c>
      <c r="H190">
        <v>120</v>
      </c>
      <c r="I190">
        <v>50</v>
      </c>
      <c r="J190">
        <v>50</v>
      </c>
      <c r="K190">
        <v>70</v>
      </c>
      <c r="L190" t="s">
        <v>55</v>
      </c>
      <c r="M190" t="s">
        <v>38</v>
      </c>
      <c r="N190" t="s">
        <v>90</v>
      </c>
      <c r="O190">
        <v>25.77</v>
      </c>
      <c r="P190">
        <v>57.53</v>
      </c>
      <c r="Q190">
        <v>16.59</v>
      </c>
      <c r="R190">
        <v>8.0299999999999994</v>
      </c>
      <c r="S190">
        <v>2.61</v>
      </c>
      <c r="T190">
        <v>3.2</v>
      </c>
      <c r="U190">
        <v>3.72</v>
      </c>
      <c r="V190">
        <v>0.03</v>
      </c>
      <c r="W190">
        <v>-47.48</v>
      </c>
      <c r="X190" t="s">
        <v>32</v>
      </c>
      <c r="Y190" t="s">
        <v>33</v>
      </c>
    </row>
    <row r="191" spans="1:25" x14ac:dyDescent="0.3">
      <c r="A191">
        <v>190</v>
      </c>
      <c r="B191" t="s">
        <v>327</v>
      </c>
      <c r="C191" t="s">
        <v>165</v>
      </c>
      <c r="D191" t="s">
        <v>109</v>
      </c>
      <c r="E191" t="s">
        <v>50</v>
      </c>
      <c r="F191">
        <v>4</v>
      </c>
      <c r="G191">
        <v>150</v>
      </c>
      <c r="H191">
        <v>600</v>
      </c>
      <c r="I191">
        <v>70</v>
      </c>
      <c r="J191">
        <v>280</v>
      </c>
      <c r="K191">
        <v>320</v>
      </c>
      <c r="L191" t="s">
        <v>29</v>
      </c>
      <c r="M191" t="s">
        <v>63</v>
      </c>
      <c r="N191" t="s">
        <v>46</v>
      </c>
      <c r="O191">
        <v>11.41</v>
      </c>
      <c r="P191">
        <v>26.77</v>
      </c>
      <c r="Q191">
        <v>19.600000000000001</v>
      </c>
      <c r="R191">
        <v>16.53</v>
      </c>
      <c r="S191">
        <v>4.5199999999999996</v>
      </c>
      <c r="T191">
        <v>14.02</v>
      </c>
      <c r="U191">
        <v>1.1000000000000001</v>
      </c>
      <c r="V191">
        <v>2.0299999999999998</v>
      </c>
      <c r="W191">
        <v>224.02</v>
      </c>
      <c r="X191" t="s">
        <v>57</v>
      </c>
      <c r="Y191" t="s">
        <v>40</v>
      </c>
    </row>
    <row r="192" spans="1:25" x14ac:dyDescent="0.3">
      <c r="A192">
        <v>191</v>
      </c>
      <c r="B192" t="s">
        <v>328</v>
      </c>
      <c r="C192" t="s">
        <v>329</v>
      </c>
      <c r="D192" t="s">
        <v>36</v>
      </c>
      <c r="E192" t="s">
        <v>28</v>
      </c>
      <c r="F192">
        <v>3</v>
      </c>
      <c r="G192">
        <v>220</v>
      </c>
      <c r="H192">
        <v>660</v>
      </c>
      <c r="I192">
        <v>100</v>
      </c>
      <c r="J192">
        <v>300</v>
      </c>
      <c r="K192">
        <v>360</v>
      </c>
      <c r="L192" t="s">
        <v>44</v>
      </c>
      <c r="M192" t="s">
        <v>56</v>
      </c>
      <c r="N192" t="s">
        <v>51</v>
      </c>
      <c r="O192">
        <v>19.97</v>
      </c>
      <c r="P192">
        <v>23.11</v>
      </c>
      <c r="Q192">
        <v>7.8</v>
      </c>
      <c r="R192">
        <v>25.64</v>
      </c>
      <c r="S192">
        <v>0.5</v>
      </c>
      <c r="T192">
        <v>10.45</v>
      </c>
      <c r="U192">
        <v>5.85</v>
      </c>
      <c r="V192">
        <v>2.97</v>
      </c>
      <c r="W192">
        <v>263.70999999999998</v>
      </c>
      <c r="X192" t="s">
        <v>66</v>
      </c>
      <c r="Y192" t="s">
        <v>33</v>
      </c>
    </row>
    <row r="193" spans="1:25" x14ac:dyDescent="0.3">
      <c r="A193">
        <v>192</v>
      </c>
      <c r="B193" t="s">
        <v>172</v>
      </c>
      <c r="C193" t="s">
        <v>187</v>
      </c>
      <c r="D193" t="s">
        <v>27</v>
      </c>
      <c r="E193" t="s">
        <v>28</v>
      </c>
      <c r="F193">
        <v>4</v>
      </c>
      <c r="G193">
        <v>200</v>
      </c>
      <c r="H193">
        <v>800</v>
      </c>
      <c r="I193">
        <v>90</v>
      </c>
      <c r="J193">
        <v>360</v>
      </c>
      <c r="K193">
        <v>440</v>
      </c>
      <c r="L193" t="s">
        <v>86</v>
      </c>
      <c r="M193" t="s">
        <v>38</v>
      </c>
      <c r="N193" t="s">
        <v>81</v>
      </c>
      <c r="O193">
        <v>21.58</v>
      </c>
      <c r="P193">
        <v>48.86</v>
      </c>
      <c r="Q193">
        <v>9.65</v>
      </c>
      <c r="R193">
        <v>23.01</v>
      </c>
      <c r="S193">
        <v>3.93</v>
      </c>
      <c r="T193">
        <v>3.4</v>
      </c>
      <c r="U193">
        <v>5.92</v>
      </c>
      <c r="V193">
        <v>2.0299999999999998</v>
      </c>
      <c r="W193">
        <v>321.62</v>
      </c>
      <c r="X193" t="s">
        <v>32</v>
      </c>
      <c r="Y193" t="s">
        <v>33</v>
      </c>
    </row>
    <row r="194" spans="1:25" x14ac:dyDescent="0.3">
      <c r="A194">
        <v>193</v>
      </c>
      <c r="B194" t="s">
        <v>330</v>
      </c>
      <c r="C194" t="s">
        <v>116</v>
      </c>
      <c r="D194" t="s">
        <v>27</v>
      </c>
      <c r="E194" t="s">
        <v>28</v>
      </c>
      <c r="F194">
        <v>3</v>
      </c>
      <c r="G194">
        <v>200</v>
      </c>
      <c r="H194">
        <v>600</v>
      </c>
      <c r="I194">
        <v>90</v>
      </c>
      <c r="J194">
        <v>270</v>
      </c>
      <c r="K194">
        <v>330</v>
      </c>
      <c r="L194" t="s">
        <v>44</v>
      </c>
      <c r="M194" t="s">
        <v>30</v>
      </c>
      <c r="N194" t="s">
        <v>31</v>
      </c>
      <c r="O194">
        <v>23.89</v>
      </c>
      <c r="P194">
        <v>43.38</v>
      </c>
      <c r="Q194">
        <v>19.899999999999999</v>
      </c>
      <c r="R194">
        <v>34.159999999999997</v>
      </c>
      <c r="S194">
        <v>0.35</v>
      </c>
      <c r="T194">
        <v>6.68</v>
      </c>
      <c r="U194">
        <v>3.37</v>
      </c>
      <c r="V194">
        <v>1.22</v>
      </c>
      <c r="W194">
        <v>197.05</v>
      </c>
      <c r="X194" t="s">
        <v>66</v>
      </c>
      <c r="Y194" t="s">
        <v>33</v>
      </c>
    </row>
    <row r="195" spans="1:25" x14ac:dyDescent="0.3">
      <c r="A195">
        <v>194</v>
      </c>
      <c r="B195" t="s">
        <v>221</v>
      </c>
      <c r="C195" t="s">
        <v>331</v>
      </c>
      <c r="D195" t="s">
        <v>54</v>
      </c>
      <c r="E195" t="s">
        <v>28</v>
      </c>
      <c r="F195">
        <v>2</v>
      </c>
      <c r="G195">
        <v>120</v>
      </c>
      <c r="H195">
        <v>240</v>
      </c>
      <c r="I195">
        <v>50</v>
      </c>
      <c r="J195">
        <v>100</v>
      </c>
      <c r="K195">
        <v>140</v>
      </c>
      <c r="L195" t="s">
        <v>86</v>
      </c>
      <c r="M195" t="s">
        <v>45</v>
      </c>
      <c r="N195" t="s">
        <v>81</v>
      </c>
      <c r="O195">
        <v>10.75</v>
      </c>
      <c r="P195">
        <v>21.21</v>
      </c>
      <c r="Q195">
        <v>16.05</v>
      </c>
      <c r="R195">
        <v>7.51</v>
      </c>
      <c r="S195">
        <v>3.09</v>
      </c>
      <c r="T195">
        <v>3.45</v>
      </c>
      <c r="U195">
        <v>2.17</v>
      </c>
      <c r="V195">
        <v>0.13</v>
      </c>
      <c r="W195">
        <v>75.64</v>
      </c>
      <c r="X195" t="s">
        <v>32</v>
      </c>
      <c r="Y195" t="s">
        <v>33</v>
      </c>
    </row>
    <row r="196" spans="1:25" x14ac:dyDescent="0.3">
      <c r="A196">
        <v>195</v>
      </c>
      <c r="B196" t="s">
        <v>161</v>
      </c>
      <c r="C196" t="s">
        <v>59</v>
      </c>
      <c r="D196" t="s">
        <v>49</v>
      </c>
      <c r="E196" t="s">
        <v>50</v>
      </c>
      <c r="F196">
        <v>2</v>
      </c>
      <c r="G196">
        <v>180</v>
      </c>
      <c r="H196">
        <v>360</v>
      </c>
      <c r="I196">
        <v>90</v>
      </c>
      <c r="J196">
        <v>180</v>
      </c>
      <c r="K196">
        <v>180</v>
      </c>
      <c r="L196" t="s">
        <v>29</v>
      </c>
      <c r="M196" t="s">
        <v>30</v>
      </c>
      <c r="N196" t="s">
        <v>39</v>
      </c>
      <c r="O196">
        <v>32.590000000000003</v>
      </c>
      <c r="P196">
        <v>15.36</v>
      </c>
      <c r="Q196">
        <v>19.45</v>
      </c>
      <c r="R196">
        <v>23.32</v>
      </c>
      <c r="S196">
        <v>1.82</v>
      </c>
      <c r="T196">
        <v>5.48</v>
      </c>
      <c r="U196">
        <v>3.56</v>
      </c>
      <c r="V196">
        <v>1.65</v>
      </c>
      <c r="W196">
        <v>76.77</v>
      </c>
      <c r="X196" t="s">
        <v>32</v>
      </c>
      <c r="Y196" t="s">
        <v>40</v>
      </c>
    </row>
    <row r="197" spans="1:25" x14ac:dyDescent="0.3">
      <c r="A197">
        <v>196</v>
      </c>
      <c r="B197" t="s">
        <v>174</v>
      </c>
      <c r="C197" t="s">
        <v>299</v>
      </c>
      <c r="D197" t="s">
        <v>109</v>
      </c>
      <c r="E197" t="s">
        <v>50</v>
      </c>
      <c r="F197">
        <v>2</v>
      </c>
      <c r="G197">
        <v>150</v>
      </c>
      <c r="H197">
        <v>300</v>
      </c>
      <c r="I197">
        <v>70</v>
      </c>
      <c r="J197">
        <v>140</v>
      </c>
      <c r="K197">
        <v>160</v>
      </c>
      <c r="L197" t="s">
        <v>44</v>
      </c>
      <c r="M197" t="s">
        <v>30</v>
      </c>
      <c r="N197" t="s">
        <v>51</v>
      </c>
      <c r="O197">
        <v>37.72</v>
      </c>
      <c r="P197">
        <v>25.68</v>
      </c>
      <c r="Q197">
        <v>9.5299999999999994</v>
      </c>
      <c r="R197">
        <v>6.65</v>
      </c>
      <c r="S197">
        <v>3.78</v>
      </c>
      <c r="T197">
        <v>5.12</v>
      </c>
      <c r="U197">
        <v>1.69</v>
      </c>
      <c r="V197">
        <v>0.1</v>
      </c>
      <c r="W197">
        <v>69.73</v>
      </c>
      <c r="X197" t="s">
        <v>57</v>
      </c>
      <c r="Y197" t="s">
        <v>33</v>
      </c>
    </row>
    <row r="198" spans="1:25" x14ac:dyDescent="0.3">
      <c r="A198">
        <v>197</v>
      </c>
      <c r="B198" t="s">
        <v>79</v>
      </c>
      <c r="C198" t="s">
        <v>332</v>
      </c>
      <c r="D198" t="s">
        <v>62</v>
      </c>
      <c r="E198" t="s">
        <v>28</v>
      </c>
      <c r="F198">
        <v>1</v>
      </c>
      <c r="G198">
        <v>250</v>
      </c>
      <c r="H198">
        <v>250</v>
      </c>
      <c r="I198">
        <v>110</v>
      </c>
      <c r="J198">
        <v>110</v>
      </c>
      <c r="K198">
        <v>140</v>
      </c>
      <c r="L198" t="s">
        <v>44</v>
      </c>
      <c r="M198" t="s">
        <v>56</v>
      </c>
      <c r="N198" t="s">
        <v>46</v>
      </c>
      <c r="O198">
        <v>19.09</v>
      </c>
      <c r="P198">
        <v>29.55</v>
      </c>
      <c r="Q198">
        <v>8.43</v>
      </c>
      <c r="R198">
        <v>26.1</v>
      </c>
      <c r="S198">
        <v>2.98</v>
      </c>
      <c r="T198">
        <v>14.67</v>
      </c>
      <c r="U198">
        <v>3.62</v>
      </c>
      <c r="V198">
        <v>0.01</v>
      </c>
      <c r="W198">
        <v>35.549999999999997</v>
      </c>
      <c r="X198" t="s">
        <v>32</v>
      </c>
      <c r="Y198" t="s">
        <v>40</v>
      </c>
    </row>
    <row r="199" spans="1:25" x14ac:dyDescent="0.3">
      <c r="A199">
        <v>198</v>
      </c>
      <c r="B199" t="s">
        <v>117</v>
      </c>
      <c r="C199" t="s">
        <v>333</v>
      </c>
      <c r="D199" t="s">
        <v>54</v>
      </c>
      <c r="E199" t="s">
        <v>28</v>
      </c>
      <c r="F199">
        <v>3</v>
      </c>
      <c r="G199">
        <v>120</v>
      </c>
      <c r="H199">
        <v>360</v>
      </c>
      <c r="I199">
        <v>50</v>
      </c>
      <c r="J199">
        <v>150</v>
      </c>
      <c r="K199">
        <v>210</v>
      </c>
      <c r="L199" t="s">
        <v>86</v>
      </c>
      <c r="M199" t="s">
        <v>30</v>
      </c>
      <c r="N199" t="s">
        <v>31</v>
      </c>
      <c r="O199">
        <v>16.239999999999998</v>
      </c>
      <c r="P199">
        <v>38.61</v>
      </c>
      <c r="Q199">
        <v>8.89</v>
      </c>
      <c r="R199">
        <v>10.49</v>
      </c>
      <c r="S199">
        <v>2.83</v>
      </c>
      <c r="T199">
        <v>3.7</v>
      </c>
      <c r="U199">
        <v>6.51</v>
      </c>
      <c r="V199">
        <v>1.62</v>
      </c>
      <c r="W199">
        <v>121.11</v>
      </c>
      <c r="X199" t="s">
        <v>66</v>
      </c>
      <c r="Y199" t="s">
        <v>40</v>
      </c>
    </row>
    <row r="200" spans="1:25" x14ac:dyDescent="0.3">
      <c r="A200">
        <v>199</v>
      </c>
      <c r="B200" t="s">
        <v>334</v>
      </c>
      <c r="C200" t="s">
        <v>335</v>
      </c>
      <c r="D200" t="s">
        <v>27</v>
      </c>
      <c r="E200" t="s">
        <v>28</v>
      </c>
      <c r="F200">
        <v>1</v>
      </c>
      <c r="G200">
        <v>200</v>
      </c>
      <c r="H200">
        <v>200</v>
      </c>
      <c r="I200">
        <v>90</v>
      </c>
      <c r="J200">
        <v>90</v>
      </c>
      <c r="K200">
        <v>110</v>
      </c>
      <c r="L200" t="s">
        <v>55</v>
      </c>
      <c r="M200" t="s">
        <v>45</v>
      </c>
      <c r="N200" t="s">
        <v>31</v>
      </c>
      <c r="O200">
        <v>32.99</v>
      </c>
      <c r="P200">
        <v>18.34</v>
      </c>
      <c r="Q200">
        <v>18.37</v>
      </c>
      <c r="R200">
        <v>31.29</v>
      </c>
      <c r="S200">
        <v>4.4400000000000004</v>
      </c>
      <c r="T200">
        <v>14.31</v>
      </c>
      <c r="U200">
        <v>7.5</v>
      </c>
      <c r="V200">
        <v>1.98</v>
      </c>
      <c r="W200">
        <v>-19.22</v>
      </c>
      <c r="X200" t="s">
        <v>32</v>
      </c>
      <c r="Y200" t="s">
        <v>33</v>
      </c>
    </row>
    <row r="201" spans="1:25" x14ac:dyDescent="0.3">
      <c r="A201">
        <v>200</v>
      </c>
      <c r="B201" t="s">
        <v>336</v>
      </c>
      <c r="C201" t="s">
        <v>337</v>
      </c>
      <c r="D201" t="s">
        <v>36</v>
      </c>
      <c r="E201" t="s">
        <v>28</v>
      </c>
      <c r="F201">
        <v>2</v>
      </c>
      <c r="G201">
        <v>220</v>
      </c>
      <c r="H201">
        <v>440</v>
      </c>
      <c r="I201">
        <v>100</v>
      </c>
      <c r="J201">
        <v>200</v>
      </c>
      <c r="K201">
        <v>240</v>
      </c>
      <c r="L201" t="s">
        <v>86</v>
      </c>
      <c r="M201" t="s">
        <v>38</v>
      </c>
      <c r="N201" t="s">
        <v>46</v>
      </c>
      <c r="O201">
        <v>24.27</v>
      </c>
      <c r="P201">
        <v>38.28</v>
      </c>
      <c r="Q201">
        <v>17.18</v>
      </c>
      <c r="R201">
        <v>29.72</v>
      </c>
      <c r="S201">
        <v>1.64</v>
      </c>
      <c r="T201">
        <v>2.09</v>
      </c>
      <c r="U201">
        <v>7.1</v>
      </c>
      <c r="V201">
        <v>2.81</v>
      </c>
      <c r="W201">
        <v>116.91</v>
      </c>
      <c r="X201" t="s">
        <v>32</v>
      </c>
      <c r="Y201" t="s">
        <v>40</v>
      </c>
    </row>
    <row r="202" spans="1:25" x14ac:dyDescent="0.3">
      <c r="A202">
        <v>201</v>
      </c>
      <c r="B202" t="s">
        <v>207</v>
      </c>
      <c r="C202" t="s">
        <v>338</v>
      </c>
      <c r="D202" t="s">
        <v>43</v>
      </c>
      <c r="E202" t="s">
        <v>43</v>
      </c>
      <c r="F202">
        <v>4</v>
      </c>
      <c r="G202">
        <v>80</v>
      </c>
      <c r="H202">
        <v>320</v>
      </c>
      <c r="I202">
        <v>30</v>
      </c>
      <c r="J202">
        <v>120</v>
      </c>
      <c r="K202">
        <v>200</v>
      </c>
      <c r="L202" t="s">
        <v>37</v>
      </c>
      <c r="M202" t="s">
        <v>56</v>
      </c>
      <c r="N202" t="s">
        <v>46</v>
      </c>
      <c r="O202">
        <v>27.12</v>
      </c>
      <c r="P202">
        <v>29.89</v>
      </c>
      <c r="Q202">
        <v>10.08</v>
      </c>
      <c r="R202">
        <v>24.21</v>
      </c>
      <c r="S202">
        <v>1.06</v>
      </c>
      <c r="T202">
        <v>5.03</v>
      </c>
      <c r="U202">
        <v>3.27</v>
      </c>
      <c r="V202">
        <v>2.38</v>
      </c>
      <c r="W202">
        <v>96.96</v>
      </c>
      <c r="X202" t="s">
        <v>57</v>
      </c>
      <c r="Y202" t="s">
        <v>33</v>
      </c>
    </row>
    <row r="203" spans="1:25" x14ac:dyDescent="0.3">
      <c r="A203">
        <v>202</v>
      </c>
      <c r="B203" t="s">
        <v>113</v>
      </c>
      <c r="C203" t="s">
        <v>339</v>
      </c>
      <c r="D203" t="s">
        <v>54</v>
      </c>
      <c r="E203" t="s">
        <v>28</v>
      </c>
      <c r="F203">
        <v>1</v>
      </c>
      <c r="G203">
        <v>120</v>
      </c>
      <c r="H203">
        <v>120</v>
      </c>
      <c r="I203">
        <v>50</v>
      </c>
      <c r="J203">
        <v>50</v>
      </c>
      <c r="K203">
        <v>70</v>
      </c>
      <c r="L203" t="s">
        <v>44</v>
      </c>
      <c r="M203" t="s">
        <v>63</v>
      </c>
      <c r="N203" t="s">
        <v>81</v>
      </c>
      <c r="O203">
        <v>22.96</v>
      </c>
      <c r="P203">
        <v>51.16</v>
      </c>
      <c r="Q203">
        <v>12.8</v>
      </c>
      <c r="R203">
        <v>32.17</v>
      </c>
      <c r="S203">
        <v>0.21</v>
      </c>
      <c r="T203">
        <v>12.96</v>
      </c>
      <c r="U203">
        <v>1.6</v>
      </c>
      <c r="V203">
        <v>0.72</v>
      </c>
      <c r="W203">
        <v>-64.58</v>
      </c>
      <c r="X203" t="s">
        <v>66</v>
      </c>
      <c r="Y203" t="s">
        <v>40</v>
      </c>
    </row>
    <row r="204" spans="1:25" x14ac:dyDescent="0.3">
      <c r="A204">
        <v>203</v>
      </c>
      <c r="B204" t="s">
        <v>340</v>
      </c>
      <c r="C204" t="s">
        <v>228</v>
      </c>
      <c r="D204" t="s">
        <v>62</v>
      </c>
      <c r="E204" t="s">
        <v>28</v>
      </c>
      <c r="F204">
        <v>1</v>
      </c>
      <c r="G204">
        <v>250</v>
      </c>
      <c r="H204">
        <v>250</v>
      </c>
      <c r="I204">
        <v>110</v>
      </c>
      <c r="J204">
        <v>110</v>
      </c>
      <c r="K204">
        <v>140</v>
      </c>
      <c r="L204" t="s">
        <v>29</v>
      </c>
      <c r="M204" t="s">
        <v>63</v>
      </c>
      <c r="N204" t="s">
        <v>39</v>
      </c>
      <c r="O204">
        <v>28.13</v>
      </c>
      <c r="P204">
        <v>29.58</v>
      </c>
      <c r="Q204">
        <v>16.57</v>
      </c>
      <c r="R204">
        <v>5.14</v>
      </c>
      <c r="S204">
        <v>2.0499999999999998</v>
      </c>
      <c r="T204">
        <v>9.3800000000000008</v>
      </c>
      <c r="U204">
        <v>6.07</v>
      </c>
      <c r="V204">
        <v>1.59</v>
      </c>
      <c r="W204">
        <v>41.49</v>
      </c>
      <c r="X204" t="s">
        <v>57</v>
      </c>
      <c r="Y204" t="s">
        <v>33</v>
      </c>
    </row>
    <row r="205" spans="1:25" x14ac:dyDescent="0.3">
      <c r="A205">
        <v>204</v>
      </c>
      <c r="B205" t="s">
        <v>123</v>
      </c>
      <c r="C205" t="s">
        <v>341</v>
      </c>
      <c r="D205" t="s">
        <v>43</v>
      </c>
      <c r="E205" t="s">
        <v>43</v>
      </c>
      <c r="F205">
        <v>3</v>
      </c>
      <c r="G205">
        <v>80</v>
      </c>
      <c r="H205">
        <v>240</v>
      </c>
      <c r="I205">
        <v>30</v>
      </c>
      <c r="J205">
        <v>90</v>
      </c>
      <c r="K205">
        <v>150</v>
      </c>
      <c r="L205" t="s">
        <v>55</v>
      </c>
      <c r="M205" t="s">
        <v>38</v>
      </c>
      <c r="N205" t="s">
        <v>90</v>
      </c>
      <c r="O205">
        <v>23.95</v>
      </c>
      <c r="P205">
        <v>50.51</v>
      </c>
      <c r="Q205">
        <v>17.68</v>
      </c>
      <c r="R205">
        <v>18.54</v>
      </c>
      <c r="S205">
        <v>4.09</v>
      </c>
      <c r="T205">
        <v>4.59</v>
      </c>
      <c r="U205">
        <v>6.31</v>
      </c>
      <c r="V205">
        <v>0.82</v>
      </c>
      <c r="W205">
        <v>23.51</v>
      </c>
      <c r="X205" t="s">
        <v>66</v>
      </c>
      <c r="Y205" t="s">
        <v>33</v>
      </c>
    </row>
    <row r="206" spans="1:25" x14ac:dyDescent="0.3">
      <c r="A206">
        <v>205</v>
      </c>
      <c r="B206" t="s">
        <v>342</v>
      </c>
      <c r="C206" t="s">
        <v>343</v>
      </c>
      <c r="D206" t="s">
        <v>36</v>
      </c>
      <c r="E206" t="s">
        <v>28</v>
      </c>
      <c r="F206">
        <v>1</v>
      </c>
      <c r="G206">
        <v>220</v>
      </c>
      <c r="H206">
        <v>220</v>
      </c>
      <c r="I206">
        <v>100</v>
      </c>
      <c r="J206">
        <v>100</v>
      </c>
      <c r="K206">
        <v>120</v>
      </c>
      <c r="L206" t="s">
        <v>86</v>
      </c>
      <c r="M206" t="s">
        <v>56</v>
      </c>
      <c r="N206" t="s">
        <v>46</v>
      </c>
      <c r="O206">
        <v>34.659999999999997</v>
      </c>
      <c r="P206">
        <v>42.54</v>
      </c>
      <c r="Q206">
        <v>8.26</v>
      </c>
      <c r="R206">
        <v>8.85</v>
      </c>
      <c r="S206">
        <v>1.29</v>
      </c>
      <c r="T206">
        <v>12.36</v>
      </c>
      <c r="U206">
        <v>2.59</v>
      </c>
      <c r="V206">
        <v>0.62</v>
      </c>
      <c r="W206">
        <v>8.83</v>
      </c>
      <c r="X206" t="s">
        <v>32</v>
      </c>
      <c r="Y206" t="s">
        <v>33</v>
      </c>
    </row>
    <row r="207" spans="1:25" x14ac:dyDescent="0.3">
      <c r="A207">
        <v>206</v>
      </c>
      <c r="B207" t="s">
        <v>344</v>
      </c>
      <c r="C207" t="s">
        <v>345</v>
      </c>
      <c r="D207" t="s">
        <v>89</v>
      </c>
      <c r="E207" t="s">
        <v>28</v>
      </c>
      <c r="F207">
        <v>4</v>
      </c>
      <c r="G207">
        <v>180</v>
      </c>
      <c r="H207">
        <v>720</v>
      </c>
      <c r="I207">
        <v>75</v>
      </c>
      <c r="J207">
        <v>300</v>
      </c>
      <c r="K207">
        <v>420</v>
      </c>
      <c r="L207" t="s">
        <v>86</v>
      </c>
      <c r="M207" t="s">
        <v>30</v>
      </c>
      <c r="N207" t="s">
        <v>90</v>
      </c>
      <c r="O207">
        <v>25.19</v>
      </c>
      <c r="P207">
        <v>43.84</v>
      </c>
      <c r="Q207">
        <v>15.13</v>
      </c>
      <c r="R207">
        <v>25.78</v>
      </c>
      <c r="S207">
        <v>4.76</v>
      </c>
      <c r="T207">
        <v>8.1300000000000008</v>
      </c>
      <c r="U207">
        <v>1.83</v>
      </c>
      <c r="V207">
        <v>1.56</v>
      </c>
      <c r="W207">
        <v>293.77999999999997</v>
      </c>
      <c r="X207" t="s">
        <v>32</v>
      </c>
      <c r="Y207" t="s">
        <v>40</v>
      </c>
    </row>
    <row r="208" spans="1:25" x14ac:dyDescent="0.3">
      <c r="A208">
        <v>207</v>
      </c>
      <c r="B208" t="s">
        <v>303</v>
      </c>
      <c r="C208" t="s">
        <v>98</v>
      </c>
      <c r="D208" t="s">
        <v>49</v>
      </c>
      <c r="E208" t="s">
        <v>50</v>
      </c>
      <c r="F208">
        <v>1</v>
      </c>
      <c r="G208">
        <v>180</v>
      </c>
      <c r="H208">
        <v>180</v>
      </c>
      <c r="I208">
        <v>90</v>
      </c>
      <c r="J208">
        <v>90</v>
      </c>
      <c r="K208">
        <v>90</v>
      </c>
      <c r="L208" t="s">
        <v>29</v>
      </c>
      <c r="M208" t="s">
        <v>63</v>
      </c>
      <c r="N208" t="s">
        <v>81</v>
      </c>
      <c r="O208">
        <v>17.100000000000001</v>
      </c>
      <c r="P208">
        <v>34.729999999999997</v>
      </c>
      <c r="Q208">
        <v>18.73</v>
      </c>
      <c r="R208">
        <v>33.97</v>
      </c>
      <c r="S208">
        <v>1.6</v>
      </c>
      <c r="T208">
        <v>11.24</v>
      </c>
      <c r="U208">
        <v>1.22</v>
      </c>
      <c r="V208">
        <v>1.06</v>
      </c>
      <c r="W208">
        <v>-29.65</v>
      </c>
      <c r="X208" t="s">
        <v>66</v>
      </c>
      <c r="Y208" t="s">
        <v>40</v>
      </c>
    </row>
    <row r="209" spans="1:25" x14ac:dyDescent="0.3">
      <c r="A209">
        <v>208</v>
      </c>
      <c r="B209" t="s">
        <v>346</v>
      </c>
      <c r="C209" t="s">
        <v>347</v>
      </c>
      <c r="D209" t="s">
        <v>43</v>
      </c>
      <c r="E209" t="s">
        <v>43</v>
      </c>
      <c r="F209">
        <v>1</v>
      </c>
      <c r="G209">
        <v>80</v>
      </c>
      <c r="H209">
        <v>80</v>
      </c>
      <c r="I209">
        <v>30</v>
      </c>
      <c r="J209">
        <v>30</v>
      </c>
      <c r="K209">
        <v>50</v>
      </c>
      <c r="L209" t="s">
        <v>86</v>
      </c>
      <c r="M209" t="s">
        <v>38</v>
      </c>
      <c r="N209" t="s">
        <v>90</v>
      </c>
      <c r="O209">
        <v>33.1</v>
      </c>
      <c r="P209">
        <v>16.27</v>
      </c>
      <c r="Q209">
        <v>5.64</v>
      </c>
      <c r="R209">
        <v>12.64</v>
      </c>
      <c r="S209">
        <v>1.43</v>
      </c>
      <c r="T209">
        <v>6.88</v>
      </c>
      <c r="U209">
        <v>6.71</v>
      </c>
      <c r="V209">
        <v>0.28000000000000003</v>
      </c>
      <c r="W209">
        <v>-32.950000000000003</v>
      </c>
      <c r="X209" t="s">
        <v>66</v>
      </c>
      <c r="Y209" t="s">
        <v>40</v>
      </c>
    </row>
    <row r="210" spans="1:25" x14ac:dyDescent="0.3">
      <c r="A210">
        <v>209</v>
      </c>
      <c r="B210" t="s">
        <v>219</v>
      </c>
      <c r="C210" t="s">
        <v>348</v>
      </c>
      <c r="D210" t="s">
        <v>109</v>
      </c>
      <c r="E210" t="s">
        <v>50</v>
      </c>
      <c r="F210">
        <v>3</v>
      </c>
      <c r="G210">
        <v>150</v>
      </c>
      <c r="H210">
        <v>450</v>
      </c>
      <c r="I210">
        <v>70</v>
      </c>
      <c r="J210">
        <v>210</v>
      </c>
      <c r="K210">
        <v>240</v>
      </c>
      <c r="L210" t="s">
        <v>86</v>
      </c>
      <c r="M210" t="s">
        <v>45</v>
      </c>
      <c r="N210" t="s">
        <v>31</v>
      </c>
      <c r="O210">
        <v>26.23</v>
      </c>
      <c r="P210">
        <v>28.3</v>
      </c>
      <c r="Q210">
        <v>15.68</v>
      </c>
      <c r="R210">
        <v>24.35</v>
      </c>
      <c r="S210">
        <v>1.8</v>
      </c>
      <c r="T210">
        <v>13.15</v>
      </c>
      <c r="U210">
        <v>5.79</v>
      </c>
      <c r="V210">
        <v>0.35</v>
      </c>
      <c r="W210">
        <v>124.35</v>
      </c>
      <c r="X210" t="s">
        <v>66</v>
      </c>
      <c r="Y210" t="s">
        <v>33</v>
      </c>
    </row>
    <row r="211" spans="1:25" x14ac:dyDescent="0.3">
      <c r="A211">
        <v>210</v>
      </c>
      <c r="B211" t="s">
        <v>264</v>
      </c>
      <c r="C211" t="s">
        <v>217</v>
      </c>
      <c r="D211" t="s">
        <v>43</v>
      </c>
      <c r="E211" t="s">
        <v>43</v>
      </c>
      <c r="F211">
        <v>3</v>
      </c>
      <c r="G211">
        <v>80</v>
      </c>
      <c r="H211">
        <v>240</v>
      </c>
      <c r="I211">
        <v>30</v>
      </c>
      <c r="J211">
        <v>90</v>
      </c>
      <c r="K211">
        <v>150</v>
      </c>
      <c r="L211" t="s">
        <v>37</v>
      </c>
      <c r="M211" t="s">
        <v>38</v>
      </c>
      <c r="N211" t="s">
        <v>39</v>
      </c>
      <c r="O211">
        <v>24.46</v>
      </c>
      <c r="P211">
        <v>32.36</v>
      </c>
      <c r="Q211">
        <v>6.01</v>
      </c>
      <c r="R211">
        <v>18.78</v>
      </c>
      <c r="S211">
        <v>1.82</v>
      </c>
      <c r="T211">
        <v>2.5099999999999998</v>
      </c>
      <c r="U211">
        <v>2.08</v>
      </c>
      <c r="V211">
        <v>2.71</v>
      </c>
      <c r="W211">
        <v>59.27</v>
      </c>
      <c r="X211" t="s">
        <v>66</v>
      </c>
      <c r="Y211" t="s">
        <v>40</v>
      </c>
    </row>
    <row r="212" spans="1:25" x14ac:dyDescent="0.3">
      <c r="A212">
        <v>211</v>
      </c>
      <c r="B212" t="s">
        <v>64</v>
      </c>
      <c r="C212" t="s">
        <v>349</v>
      </c>
      <c r="D212" t="s">
        <v>27</v>
      </c>
      <c r="E212" t="s">
        <v>28</v>
      </c>
      <c r="F212">
        <v>1</v>
      </c>
      <c r="G212">
        <v>200</v>
      </c>
      <c r="H212">
        <v>200</v>
      </c>
      <c r="I212">
        <v>90</v>
      </c>
      <c r="J212">
        <v>90</v>
      </c>
      <c r="K212">
        <v>110</v>
      </c>
      <c r="L212" t="s">
        <v>44</v>
      </c>
      <c r="M212" t="s">
        <v>45</v>
      </c>
      <c r="N212" t="s">
        <v>39</v>
      </c>
      <c r="O212">
        <v>36.15</v>
      </c>
      <c r="P212">
        <v>33.97</v>
      </c>
      <c r="Q212">
        <v>12.27</v>
      </c>
      <c r="R212">
        <v>26.23</v>
      </c>
      <c r="S212">
        <v>2.92</v>
      </c>
      <c r="T212">
        <v>3.07</v>
      </c>
      <c r="U212">
        <v>1.34</v>
      </c>
      <c r="V212">
        <v>2.5099999999999998</v>
      </c>
      <c r="W212">
        <v>-8.4600000000000009</v>
      </c>
      <c r="X212" t="s">
        <v>32</v>
      </c>
      <c r="Y212" t="s">
        <v>33</v>
      </c>
    </row>
    <row r="213" spans="1:25" x14ac:dyDescent="0.3">
      <c r="A213">
        <v>212</v>
      </c>
      <c r="B213" t="s">
        <v>182</v>
      </c>
      <c r="C213" t="s">
        <v>48</v>
      </c>
      <c r="D213" t="s">
        <v>49</v>
      </c>
      <c r="E213" t="s">
        <v>50</v>
      </c>
      <c r="F213">
        <v>4</v>
      </c>
      <c r="G213">
        <v>180</v>
      </c>
      <c r="H213">
        <v>720</v>
      </c>
      <c r="I213">
        <v>90</v>
      </c>
      <c r="J213">
        <v>360</v>
      </c>
      <c r="K213">
        <v>360</v>
      </c>
      <c r="L213" t="s">
        <v>86</v>
      </c>
      <c r="M213" t="s">
        <v>56</v>
      </c>
      <c r="N213" t="s">
        <v>90</v>
      </c>
      <c r="O213">
        <v>34.56</v>
      </c>
      <c r="P213">
        <v>20.86</v>
      </c>
      <c r="Q213">
        <v>16.95</v>
      </c>
      <c r="R213">
        <v>2.0299999999999998</v>
      </c>
      <c r="S213">
        <v>1.07</v>
      </c>
      <c r="T213">
        <v>7.39</v>
      </c>
      <c r="U213">
        <v>6.74</v>
      </c>
      <c r="V213">
        <v>2.63</v>
      </c>
      <c r="W213">
        <v>267.77</v>
      </c>
      <c r="X213" t="s">
        <v>57</v>
      </c>
      <c r="Y213" t="s">
        <v>40</v>
      </c>
    </row>
    <row r="214" spans="1:25" x14ac:dyDescent="0.3">
      <c r="A214">
        <v>213</v>
      </c>
      <c r="B214" t="s">
        <v>350</v>
      </c>
      <c r="C214" t="s">
        <v>92</v>
      </c>
      <c r="D214" t="s">
        <v>89</v>
      </c>
      <c r="E214" t="s">
        <v>28</v>
      </c>
      <c r="F214">
        <v>2</v>
      </c>
      <c r="G214">
        <v>180</v>
      </c>
      <c r="H214">
        <v>360</v>
      </c>
      <c r="I214">
        <v>75</v>
      </c>
      <c r="J214">
        <v>150</v>
      </c>
      <c r="K214">
        <v>210</v>
      </c>
      <c r="L214" t="s">
        <v>29</v>
      </c>
      <c r="M214" t="s">
        <v>63</v>
      </c>
      <c r="N214" t="s">
        <v>46</v>
      </c>
      <c r="O214">
        <v>37.18</v>
      </c>
      <c r="P214">
        <v>16.55</v>
      </c>
      <c r="Q214">
        <v>12.04</v>
      </c>
      <c r="R214">
        <v>5.13</v>
      </c>
      <c r="S214">
        <v>2.44</v>
      </c>
      <c r="T214">
        <v>6.34</v>
      </c>
      <c r="U214">
        <v>2.67</v>
      </c>
      <c r="V214">
        <v>0.08</v>
      </c>
      <c r="W214">
        <v>127.57</v>
      </c>
      <c r="X214" t="s">
        <v>66</v>
      </c>
      <c r="Y214" t="s">
        <v>40</v>
      </c>
    </row>
    <row r="215" spans="1:25" x14ac:dyDescent="0.3">
      <c r="A215">
        <v>214</v>
      </c>
      <c r="B215" t="s">
        <v>351</v>
      </c>
      <c r="C215" t="s">
        <v>352</v>
      </c>
      <c r="D215" t="s">
        <v>89</v>
      </c>
      <c r="E215" t="s">
        <v>28</v>
      </c>
      <c r="F215">
        <v>4</v>
      </c>
      <c r="G215">
        <v>180</v>
      </c>
      <c r="H215">
        <v>720</v>
      </c>
      <c r="I215">
        <v>75</v>
      </c>
      <c r="J215">
        <v>300</v>
      </c>
      <c r="K215">
        <v>420</v>
      </c>
      <c r="L215" t="s">
        <v>44</v>
      </c>
      <c r="M215" t="s">
        <v>56</v>
      </c>
      <c r="N215" t="s">
        <v>90</v>
      </c>
      <c r="O215">
        <v>14.73</v>
      </c>
      <c r="P215">
        <v>29.13</v>
      </c>
      <c r="Q215">
        <v>10.76</v>
      </c>
      <c r="R215">
        <v>18.57</v>
      </c>
      <c r="S215">
        <v>3.01</v>
      </c>
      <c r="T215">
        <v>5.04</v>
      </c>
      <c r="U215">
        <v>4.09</v>
      </c>
      <c r="V215">
        <v>2.44</v>
      </c>
      <c r="W215">
        <v>332.23</v>
      </c>
      <c r="X215" t="s">
        <v>66</v>
      </c>
      <c r="Y215" t="s">
        <v>40</v>
      </c>
    </row>
    <row r="216" spans="1:25" x14ac:dyDescent="0.3">
      <c r="A216">
        <v>215</v>
      </c>
      <c r="B216" t="s">
        <v>130</v>
      </c>
      <c r="C216" t="s">
        <v>353</v>
      </c>
      <c r="D216" t="s">
        <v>49</v>
      </c>
      <c r="E216" t="s">
        <v>50</v>
      </c>
      <c r="F216">
        <v>4</v>
      </c>
      <c r="G216">
        <v>180</v>
      </c>
      <c r="H216">
        <v>720</v>
      </c>
      <c r="I216">
        <v>90</v>
      </c>
      <c r="J216">
        <v>360</v>
      </c>
      <c r="K216">
        <v>360</v>
      </c>
      <c r="L216" t="s">
        <v>86</v>
      </c>
      <c r="M216" t="s">
        <v>63</v>
      </c>
      <c r="N216" t="s">
        <v>90</v>
      </c>
      <c r="O216">
        <v>35.32</v>
      </c>
      <c r="P216">
        <v>47.4</v>
      </c>
      <c r="Q216">
        <v>18.670000000000002</v>
      </c>
      <c r="R216">
        <v>17.899999999999999</v>
      </c>
      <c r="S216">
        <v>1.1000000000000001</v>
      </c>
      <c r="T216">
        <v>9.7899999999999991</v>
      </c>
      <c r="U216">
        <v>6.26</v>
      </c>
      <c r="V216">
        <v>1.48</v>
      </c>
      <c r="W216">
        <v>222.08</v>
      </c>
      <c r="X216" t="s">
        <v>32</v>
      </c>
      <c r="Y216" t="s">
        <v>40</v>
      </c>
    </row>
    <row r="217" spans="1:25" x14ac:dyDescent="0.3">
      <c r="A217">
        <v>216</v>
      </c>
      <c r="B217" t="s">
        <v>154</v>
      </c>
      <c r="C217" t="s">
        <v>354</v>
      </c>
      <c r="D217" t="s">
        <v>54</v>
      </c>
      <c r="E217" t="s">
        <v>28</v>
      </c>
      <c r="F217">
        <v>4</v>
      </c>
      <c r="G217">
        <v>120</v>
      </c>
      <c r="H217">
        <v>480</v>
      </c>
      <c r="I217">
        <v>50</v>
      </c>
      <c r="J217">
        <v>200</v>
      </c>
      <c r="K217">
        <v>280</v>
      </c>
      <c r="L217" t="s">
        <v>55</v>
      </c>
      <c r="M217" t="s">
        <v>56</v>
      </c>
      <c r="N217" t="s">
        <v>81</v>
      </c>
      <c r="O217">
        <v>20.62</v>
      </c>
      <c r="P217">
        <v>16.760000000000002</v>
      </c>
      <c r="Q217">
        <v>14.14</v>
      </c>
      <c r="R217">
        <v>1.36</v>
      </c>
      <c r="S217">
        <v>2.99</v>
      </c>
      <c r="T217">
        <v>11.54</v>
      </c>
      <c r="U217">
        <v>6.36</v>
      </c>
      <c r="V217">
        <v>1.1100000000000001</v>
      </c>
      <c r="W217">
        <v>205.12</v>
      </c>
      <c r="X217" t="s">
        <v>57</v>
      </c>
      <c r="Y217" t="s">
        <v>33</v>
      </c>
    </row>
    <row r="218" spans="1:25" x14ac:dyDescent="0.3">
      <c r="A218">
        <v>217</v>
      </c>
      <c r="B218" t="s">
        <v>291</v>
      </c>
      <c r="C218" t="s">
        <v>355</v>
      </c>
      <c r="D218" t="s">
        <v>54</v>
      </c>
      <c r="E218" t="s">
        <v>28</v>
      </c>
      <c r="F218">
        <v>4</v>
      </c>
      <c r="G218">
        <v>120</v>
      </c>
      <c r="H218">
        <v>480</v>
      </c>
      <c r="I218">
        <v>50</v>
      </c>
      <c r="J218">
        <v>200</v>
      </c>
      <c r="K218">
        <v>280</v>
      </c>
      <c r="L218" t="s">
        <v>29</v>
      </c>
      <c r="M218" t="s">
        <v>45</v>
      </c>
      <c r="N218" t="s">
        <v>31</v>
      </c>
      <c r="O218">
        <v>25.16</v>
      </c>
      <c r="P218">
        <v>24.3</v>
      </c>
      <c r="Q218">
        <v>14.7</v>
      </c>
      <c r="R218">
        <v>32.19</v>
      </c>
      <c r="S218">
        <v>2.93</v>
      </c>
      <c r="T218">
        <v>10.96</v>
      </c>
      <c r="U218">
        <v>3.58</v>
      </c>
      <c r="V218">
        <v>0.68</v>
      </c>
      <c r="W218">
        <v>165.5</v>
      </c>
      <c r="X218" t="s">
        <v>57</v>
      </c>
      <c r="Y218" t="s">
        <v>40</v>
      </c>
    </row>
    <row r="219" spans="1:25" x14ac:dyDescent="0.3">
      <c r="A219">
        <v>218</v>
      </c>
      <c r="B219" t="s">
        <v>356</v>
      </c>
      <c r="C219" t="s">
        <v>357</v>
      </c>
      <c r="D219" t="s">
        <v>49</v>
      </c>
      <c r="E219" t="s">
        <v>50</v>
      </c>
      <c r="F219">
        <v>2</v>
      </c>
      <c r="G219">
        <v>180</v>
      </c>
      <c r="H219">
        <v>360</v>
      </c>
      <c r="I219">
        <v>90</v>
      </c>
      <c r="J219">
        <v>180</v>
      </c>
      <c r="K219">
        <v>180</v>
      </c>
      <c r="L219" t="s">
        <v>29</v>
      </c>
      <c r="M219" t="s">
        <v>63</v>
      </c>
      <c r="N219" t="s">
        <v>46</v>
      </c>
      <c r="O219">
        <v>23.15</v>
      </c>
      <c r="P219">
        <v>18.45</v>
      </c>
      <c r="Q219">
        <v>19.27</v>
      </c>
      <c r="R219">
        <v>21.7</v>
      </c>
      <c r="S219">
        <v>1.1299999999999999</v>
      </c>
      <c r="T219">
        <v>14.71</v>
      </c>
      <c r="U219">
        <v>6.49</v>
      </c>
      <c r="V219">
        <v>2.11</v>
      </c>
      <c r="W219">
        <v>72.989999999999995</v>
      </c>
      <c r="X219" t="s">
        <v>66</v>
      </c>
      <c r="Y219" t="s">
        <v>33</v>
      </c>
    </row>
    <row r="220" spans="1:25" x14ac:dyDescent="0.3">
      <c r="A220">
        <v>219</v>
      </c>
      <c r="B220" t="s">
        <v>193</v>
      </c>
      <c r="C220" t="s">
        <v>358</v>
      </c>
      <c r="D220" t="s">
        <v>54</v>
      </c>
      <c r="E220" t="s">
        <v>28</v>
      </c>
      <c r="F220">
        <v>3</v>
      </c>
      <c r="G220">
        <v>120</v>
      </c>
      <c r="H220">
        <v>360</v>
      </c>
      <c r="I220">
        <v>50</v>
      </c>
      <c r="J220">
        <v>150</v>
      </c>
      <c r="K220">
        <v>210</v>
      </c>
      <c r="L220" t="s">
        <v>37</v>
      </c>
      <c r="M220" t="s">
        <v>63</v>
      </c>
      <c r="N220" t="s">
        <v>90</v>
      </c>
      <c r="O220">
        <v>17.43</v>
      </c>
      <c r="P220">
        <v>59.73</v>
      </c>
      <c r="Q220">
        <v>12.4</v>
      </c>
      <c r="R220">
        <v>13.91</v>
      </c>
      <c r="S220">
        <v>1.44</v>
      </c>
      <c r="T220">
        <v>4.97</v>
      </c>
      <c r="U220">
        <v>6.47</v>
      </c>
      <c r="V220">
        <v>2.41</v>
      </c>
      <c r="W220">
        <v>91.24</v>
      </c>
      <c r="X220" t="s">
        <v>66</v>
      </c>
      <c r="Y220" t="s">
        <v>40</v>
      </c>
    </row>
    <row r="221" spans="1:25" x14ac:dyDescent="0.3">
      <c r="A221">
        <v>220</v>
      </c>
      <c r="B221" t="s">
        <v>41</v>
      </c>
      <c r="C221" t="s">
        <v>359</v>
      </c>
      <c r="D221" t="s">
        <v>36</v>
      </c>
      <c r="E221" t="s">
        <v>28</v>
      </c>
      <c r="F221">
        <v>3</v>
      </c>
      <c r="G221">
        <v>220</v>
      </c>
      <c r="H221">
        <v>660</v>
      </c>
      <c r="I221">
        <v>100</v>
      </c>
      <c r="J221">
        <v>300</v>
      </c>
      <c r="K221">
        <v>360</v>
      </c>
      <c r="L221" t="s">
        <v>44</v>
      </c>
      <c r="M221" t="s">
        <v>38</v>
      </c>
      <c r="N221" t="s">
        <v>90</v>
      </c>
      <c r="O221">
        <v>12.72</v>
      </c>
      <c r="P221">
        <v>23.01</v>
      </c>
      <c r="Q221">
        <v>6.92</v>
      </c>
      <c r="R221">
        <v>22.91</v>
      </c>
      <c r="S221">
        <v>0.32</v>
      </c>
      <c r="T221">
        <v>11.34</v>
      </c>
      <c r="U221">
        <v>2.09</v>
      </c>
      <c r="V221">
        <v>0.57999999999999996</v>
      </c>
      <c r="W221">
        <v>280.11</v>
      </c>
      <c r="X221" t="s">
        <v>57</v>
      </c>
      <c r="Y221" t="s">
        <v>33</v>
      </c>
    </row>
    <row r="222" spans="1:25" x14ac:dyDescent="0.3">
      <c r="A222">
        <v>221</v>
      </c>
      <c r="B222" t="s">
        <v>287</v>
      </c>
      <c r="C222" t="s">
        <v>360</v>
      </c>
      <c r="D222" t="s">
        <v>89</v>
      </c>
      <c r="E222" t="s">
        <v>28</v>
      </c>
      <c r="F222">
        <v>3</v>
      </c>
      <c r="G222">
        <v>180</v>
      </c>
      <c r="H222">
        <v>540</v>
      </c>
      <c r="I222">
        <v>75</v>
      </c>
      <c r="J222">
        <v>225</v>
      </c>
      <c r="K222">
        <v>315</v>
      </c>
      <c r="L222" t="s">
        <v>86</v>
      </c>
      <c r="M222" t="s">
        <v>56</v>
      </c>
      <c r="N222" t="s">
        <v>81</v>
      </c>
      <c r="O222">
        <v>33.130000000000003</v>
      </c>
      <c r="P222">
        <v>31.01</v>
      </c>
      <c r="Q222">
        <v>15.32</v>
      </c>
      <c r="R222">
        <v>20.55</v>
      </c>
      <c r="S222">
        <v>3.78</v>
      </c>
      <c r="T222">
        <v>11.96</v>
      </c>
      <c r="U222">
        <v>3.26</v>
      </c>
      <c r="V222">
        <v>0.02</v>
      </c>
      <c r="W222">
        <v>195.97</v>
      </c>
      <c r="X222" t="s">
        <v>57</v>
      </c>
      <c r="Y222" t="s">
        <v>33</v>
      </c>
    </row>
    <row r="223" spans="1:25" x14ac:dyDescent="0.3">
      <c r="A223">
        <v>222</v>
      </c>
      <c r="B223" t="s">
        <v>214</v>
      </c>
      <c r="C223" t="s">
        <v>151</v>
      </c>
      <c r="D223" t="s">
        <v>36</v>
      </c>
      <c r="E223" t="s">
        <v>28</v>
      </c>
      <c r="F223">
        <v>2</v>
      </c>
      <c r="G223">
        <v>220</v>
      </c>
      <c r="H223">
        <v>440</v>
      </c>
      <c r="I223">
        <v>100</v>
      </c>
      <c r="J223">
        <v>200</v>
      </c>
      <c r="K223">
        <v>240</v>
      </c>
      <c r="L223" t="s">
        <v>55</v>
      </c>
      <c r="M223" t="s">
        <v>63</v>
      </c>
      <c r="N223" t="s">
        <v>51</v>
      </c>
      <c r="O223">
        <v>22.51</v>
      </c>
      <c r="P223">
        <v>23.33</v>
      </c>
      <c r="Q223">
        <v>16.559999999999999</v>
      </c>
      <c r="R223">
        <v>22.79</v>
      </c>
      <c r="S223">
        <v>1.56</v>
      </c>
      <c r="T223">
        <v>3.64</v>
      </c>
      <c r="U223">
        <v>5.27</v>
      </c>
      <c r="V223">
        <v>2.56</v>
      </c>
      <c r="W223">
        <v>141.78</v>
      </c>
      <c r="X223" t="s">
        <v>66</v>
      </c>
      <c r="Y223" t="s">
        <v>40</v>
      </c>
    </row>
    <row r="224" spans="1:25" x14ac:dyDescent="0.3">
      <c r="A224">
        <v>223</v>
      </c>
      <c r="B224" t="s">
        <v>219</v>
      </c>
      <c r="C224" t="s">
        <v>361</v>
      </c>
      <c r="D224" t="s">
        <v>54</v>
      </c>
      <c r="E224" t="s">
        <v>28</v>
      </c>
      <c r="F224">
        <v>3</v>
      </c>
      <c r="G224">
        <v>120</v>
      </c>
      <c r="H224">
        <v>360</v>
      </c>
      <c r="I224">
        <v>50</v>
      </c>
      <c r="J224">
        <v>150</v>
      </c>
      <c r="K224">
        <v>210</v>
      </c>
      <c r="L224" t="s">
        <v>86</v>
      </c>
      <c r="M224" t="s">
        <v>38</v>
      </c>
      <c r="N224" t="s">
        <v>31</v>
      </c>
      <c r="O224">
        <v>36.53</v>
      </c>
      <c r="P224">
        <v>45.79</v>
      </c>
      <c r="Q224">
        <v>7.48</v>
      </c>
      <c r="R224">
        <v>23.03</v>
      </c>
      <c r="S224">
        <v>2.0099999999999998</v>
      </c>
      <c r="T224">
        <v>9.99</v>
      </c>
      <c r="U224">
        <v>5.44</v>
      </c>
      <c r="V224">
        <v>1.1599999999999999</v>
      </c>
      <c r="W224">
        <v>78.569999999999993</v>
      </c>
      <c r="X224" t="s">
        <v>32</v>
      </c>
      <c r="Y224" t="s">
        <v>40</v>
      </c>
    </row>
    <row r="225" spans="1:25" x14ac:dyDescent="0.3">
      <c r="A225">
        <v>224</v>
      </c>
      <c r="B225" t="s">
        <v>227</v>
      </c>
      <c r="C225" t="s">
        <v>347</v>
      </c>
      <c r="D225" t="s">
        <v>36</v>
      </c>
      <c r="E225" t="s">
        <v>28</v>
      </c>
      <c r="F225">
        <v>3</v>
      </c>
      <c r="G225">
        <v>220</v>
      </c>
      <c r="H225">
        <v>660</v>
      </c>
      <c r="I225">
        <v>100</v>
      </c>
      <c r="J225">
        <v>300</v>
      </c>
      <c r="K225">
        <v>360</v>
      </c>
      <c r="L225" t="s">
        <v>37</v>
      </c>
      <c r="M225" t="s">
        <v>38</v>
      </c>
      <c r="N225" t="s">
        <v>46</v>
      </c>
      <c r="O225">
        <v>28.07</v>
      </c>
      <c r="P225">
        <v>44.11</v>
      </c>
      <c r="Q225">
        <v>8.17</v>
      </c>
      <c r="R225">
        <v>22.4</v>
      </c>
      <c r="S225">
        <v>0.41</v>
      </c>
      <c r="T225">
        <v>9.49</v>
      </c>
      <c r="U225">
        <v>7.62</v>
      </c>
      <c r="V225">
        <v>2.64</v>
      </c>
      <c r="W225">
        <v>237.09</v>
      </c>
      <c r="X225" t="s">
        <v>32</v>
      </c>
      <c r="Y225" t="s">
        <v>33</v>
      </c>
    </row>
    <row r="226" spans="1:25" x14ac:dyDescent="0.3">
      <c r="A226">
        <v>225</v>
      </c>
      <c r="B226" t="s">
        <v>182</v>
      </c>
      <c r="C226" t="s">
        <v>362</v>
      </c>
      <c r="D226" t="s">
        <v>62</v>
      </c>
      <c r="E226" t="s">
        <v>28</v>
      </c>
      <c r="F226">
        <v>1</v>
      </c>
      <c r="G226">
        <v>250</v>
      </c>
      <c r="H226">
        <v>250</v>
      </c>
      <c r="I226">
        <v>110</v>
      </c>
      <c r="J226">
        <v>110</v>
      </c>
      <c r="K226">
        <v>140</v>
      </c>
      <c r="L226" t="s">
        <v>86</v>
      </c>
      <c r="M226" t="s">
        <v>45</v>
      </c>
      <c r="N226" t="s">
        <v>39</v>
      </c>
      <c r="O226">
        <v>22.13</v>
      </c>
      <c r="P226">
        <v>44.35</v>
      </c>
      <c r="Q226">
        <v>5.29</v>
      </c>
      <c r="R226">
        <v>4.75</v>
      </c>
      <c r="S226">
        <v>3.33</v>
      </c>
      <c r="T226">
        <v>11.63</v>
      </c>
      <c r="U226">
        <v>1.0900000000000001</v>
      </c>
      <c r="V226">
        <v>0.05</v>
      </c>
      <c r="W226">
        <v>47.38</v>
      </c>
      <c r="X226" t="s">
        <v>66</v>
      </c>
      <c r="Y226" t="s">
        <v>40</v>
      </c>
    </row>
    <row r="227" spans="1:25" x14ac:dyDescent="0.3">
      <c r="A227">
        <v>226</v>
      </c>
      <c r="B227" t="s">
        <v>284</v>
      </c>
      <c r="C227" t="s">
        <v>65</v>
      </c>
      <c r="D227" t="s">
        <v>89</v>
      </c>
      <c r="E227" t="s">
        <v>28</v>
      </c>
      <c r="F227">
        <v>1</v>
      </c>
      <c r="G227">
        <v>180</v>
      </c>
      <c r="H227">
        <v>180</v>
      </c>
      <c r="I227">
        <v>75</v>
      </c>
      <c r="J227">
        <v>75</v>
      </c>
      <c r="K227">
        <v>105</v>
      </c>
      <c r="L227" t="s">
        <v>37</v>
      </c>
      <c r="M227" t="s">
        <v>38</v>
      </c>
      <c r="N227" t="s">
        <v>46</v>
      </c>
      <c r="O227">
        <v>18.16</v>
      </c>
      <c r="P227">
        <v>45.6</v>
      </c>
      <c r="Q227">
        <v>10.67</v>
      </c>
      <c r="R227">
        <v>10.64</v>
      </c>
      <c r="S227">
        <v>3.07</v>
      </c>
      <c r="T227">
        <v>3.94</v>
      </c>
      <c r="U227">
        <v>7.63</v>
      </c>
      <c r="V227">
        <v>0.57999999999999996</v>
      </c>
      <c r="W227">
        <v>4.71</v>
      </c>
      <c r="X227" t="s">
        <v>57</v>
      </c>
      <c r="Y227" t="s">
        <v>33</v>
      </c>
    </row>
    <row r="228" spans="1:25" x14ac:dyDescent="0.3">
      <c r="A228">
        <v>227</v>
      </c>
      <c r="B228" t="s">
        <v>152</v>
      </c>
      <c r="C228" t="s">
        <v>323</v>
      </c>
      <c r="D228" t="s">
        <v>89</v>
      </c>
      <c r="E228" t="s">
        <v>28</v>
      </c>
      <c r="F228">
        <v>2</v>
      </c>
      <c r="G228">
        <v>180</v>
      </c>
      <c r="H228">
        <v>360</v>
      </c>
      <c r="I228">
        <v>75</v>
      </c>
      <c r="J228">
        <v>150</v>
      </c>
      <c r="K228">
        <v>210</v>
      </c>
      <c r="L228" t="s">
        <v>37</v>
      </c>
      <c r="M228" t="s">
        <v>38</v>
      </c>
      <c r="N228" t="s">
        <v>31</v>
      </c>
      <c r="O228">
        <v>26.07</v>
      </c>
      <c r="P228">
        <v>29.29</v>
      </c>
      <c r="Q228">
        <v>5.2</v>
      </c>
      <c r="R228">
        <v>1.61</v>
      </c>
      <c r="S228">
        <v>1.98</v>
      </c>
      <c r="T228">
        <v>12.02</v>
      </c>
      <c r="U228">
        <v>4.3</v>
      </c>
      <c r="V228">
        <v>2.4300000000000002</v>
      </c>
      <c r="W228">
        <v>127.1</v>
      </c>
      <c r="X228" t="s">
        <v>57</v>
      </c>
      <c r="Y228" t="s">
        <v>40</v>
      </c>
    </row>
    <row r="229" spans="1:25" x14ac:dyDescent="0.3">
      <c r="A229">
        <v>228</v>
      </c>
      <c r="B229" t="s">
        <v>105</v>
      </c>
      <c r="C229" t="s">
        <v>194</v>
      </c>
      <c r="D229" t="s">
        <v>109</v>
      </c>
      <c r="E229" t="s">
        <v>50</v>
      </c>
      <c r="F229">
        <v>4</v>
      </c>
      <c r="G229">
        <v>150</v>
      </c>
      <c r="H229">
        <v>600</v>
      </c>
      <c r="I229">
        <v>70</v>
      </c>
      <c r="J229">
        <v>280</v>
      </c>
      <c r="K229">
        <v>320</v>
      </c>
      <c r="L229" t="s">
        <v>86</v>
      </c>
      <c r="M229" t="s">
        <v>63</v>
      </c>
      <c r="N229" t="s">
        <v>39</v>
      </c>
      <c r="O229">
        <v>38.729999999999997</v>
      </c>
      <c r="P229">
        <v>27.75</v>
      </c>
      <c r="Q229">
        <v>7.67</v>
      </c>
      <c r="R229">
        <v>2.72</v>
      </c>
      <c r="S229">
        <v>2.99</v>
      </c>
      <c r="T229">
        <v>8.0299999999999994</v>
      </c>
      <c r="U229">
        <v>6.03</v>
      </c>
      <c r="V229">
        <v>2.56</v>
      </c>
      <c r="W229">
        <v>223.52</v>
      </c>
      <c r="X229" t="s">
        <v>57</v>
      </c>
      <c r="Y229" t="s">
        <v>40</v>
      </c>
    </row>
    <row r="230" spans="1:25" x14ac:dyDescent="0.3">
      <c r="A230">
        <v>229</v>
      </c>
      <c r="B230" t="s">
        <v>168</v>
      </c>
      <c r="C230" t="s">
        <v>335</v>
      </c>
      <c r="D230" t="s">
        <v>27</v>
      </c>
      <c r="E230" t="s">
        <v>28</v>
      </c>
      <c r="F230">
        <v>3</v>
      </c>
      <c r="G230">
        <v>200</v>
      </c>
      <c r="H230">
        <v>600</v>
      </c>
      <c r="I230">
        <v>90</v>
      </c>
      <c r="J230">
        <v>270</v>
      </c>
      <c r="K230">
        <v>330</v>
      </c>
      <c r="L230" t="s">
        <v>44</v>
      </c>
      <c r="M230" t="s">
        <v>45</v>
      </c>
      <c r="N230" t="s">
        <v>90</v>
      </c>
      <c r="O230">
        <v>36.57</v>
      </c>
      <c r="P230">
        <v>53.7</v>
      </c>
      <c r="Q230">
        <v>8.19</v>
      </c>
      <c r="R230">
        <v>13.57</v>
      </c>
      <c r="S230">
        <v>1.27</v>
      </c>
      <c r="T230">
        <v>2.0099999999999998</v>
      </c>
      <c r="U230">
        <v>4.6399999999999997</v>
      </c>
      <c r="V230">
        <v>0.33</v>
      </c>
      <c r="W230">
        <v>209.72</v>
      </c>
      <c r="X230" t="s">
        <v>57</v>
      </c>
      <c r="Y230" t="s">
        <v>40</v>
      </c>
    </row>
    <row r="231" spans="1:25" x14ac:dyDescent="0.3">
      <c r="A231">
        <v>230</v>
      </c>
      <c r="B231" t="s">
        <v>134</v>
      </c>
      <c r="C231" t="s">
        <v>363</v>
      </c>
      <c r="D231" t="s">
        <v>49</v>
      </c>
      <c r="E231" t="s">
        <v>50</v>
      </c>
      <c r="F231">
        <v>4</v>
      </c>
      <c r="G231">
        <v>180</v>
      </c>
      <c r="H231">
        <v>720</v>
      </c>
      <c r="I231">
        <v>90</v>
      </c>
      <c r="J231">
        <v>360</v>
      </c>
      <c r="K231">
        <v>360</v>
      </c>
      <c r="L231" t="s">
        <v>29</v>
      </c>
      <c r="M231" t="s">
        <v>56</v>
      </c>
      <c r="N231" t="s">
        <v>81</v>
      </c>
      <c r="O231">
        <v>37.51</v>
      </c>
      <c r="P231">
        <v>26.3</v>
      </c>
      <c r="Q231">
        <v>18.760000000000002</v>
      </c>
      <c r="R231">
        <v>8.66</v>
      </c>
      <c r="S231">
        <v>4.32</v>
      </c>
      <c r="T231">
        <v>5.61</v>
      </c>
      <c r="U231">
        <v>3.3</v>
      </c>
      <c r="V231">
        <v>1.67</v>
      </c>
      <c r="W231">
        <v>253.87</v>
      </c>
      <c r="X231" t="s">
        <v>57</v>
      </c>
      <c r="Y231" t="s">
        <v>33</v>
      </c>
    </row>
    <row r="232" spans="1:25" x14ac:dyDescent="0.3">
      <c r="A232">
        <v>231</v>
      </c>
      <c r="B232" t="s">
        <v>253</v>
      </c>
      <c r="C232" t="s">
        <v>269</v>
      </c>
      <c r="D232" t="s">
        <v>36</v>
      </c>
      <c r="E232" t="s">
        <v>28</v>
      </c>
      <c r="F232">
        <v>3</v>
      </c>
      <c r="G232">
        <v>220</v>
      </c>
      <c r="H232">
        <v>660</v>
      </c>
      <c r="I232">
        <v>100</v>
      </c>
      <c r="J232">
        <v>300</v>
      </c>
      <c r="K232">
        <v>360</v>
      </c>
      <c r="L232" t="s">
        <v>37</v>
      </c>
      <c r="M232" t="s">
        <v>63</v>
      </c>
      <c r="N232" t="s">
        <v>31</v>
      </c>
      <c r="O232">
        <v>23.48</v>
      </c>
      <c r="P232">
        <v>19.12</v>
      </c>
      <c r="Q232">
        <v>18.149999999999999</v>
      </c>
      <c r="R232">
        <v>3.89</v>
      </c>
      <c r="S232">
        <v>0.8</v>
      </c>
      <c r="T232">
        <v>13.89</v>
      </c>
      <c r="U232">
        <v>6.4</v>
      </c>
      <c r="V232">
        <v>0.2</v>
      </c>
      <c r="W232">
        <v>274.07</v>
      </c>
      <c r="X232" t="s">
        <v>57</v>
      </c>
      <c r="Y232" t="s">
        <v>33</v>
      </c>
    </row>
    <row r="233" spans="1:25" x14ac:dyDescent="0.3">
      <c r="A233">
        <v>232</v>
      </c>
      <c r="B233" t="s">
        <v>293</v>
      </c>
      <c r="C233" t="s">
        <v>129</v>
      </c>
      <c r="D233" t="s">
        <v>89</v>
      </c>
      <c r="E233" t="s">
        <v>28</v>
      </c>
      <c r="F233">
        <v>2</v>
      </c>
      <c r="G233">
        <v>180</v>
      </c>
      <c r="H233">
        <v>360</v>
      </c>
      <c r="I233">
        <v>75</v>
      </c>
      <c r="J233">
        <v>150</v>
      </c>
      <c r="K233">
        <v>210</v>
      </c>
      <c r="L233" t="s">
        <v>44</v>
      </c>
      <c r="M233" t="s">
        <v>56</v>
      </c>
      <c r="N233" t="s">
        <v>81</v>
      </c>
      <c r="O233">
        <v>10.31</v>
      </c>
      <c r="P233">
        <v>30.79</v>
      </c>
      <c r="Q233">
        <v>16.27</v>
      </c>
      <c r="R233">
        <v>10.029999999999999</v>
      </c>
      <c r="S233">
        <v>1.6</v>
      </c>
      <c r="T233">
        <v>8.39</v>
      </c>
      <c r="U233">
        <v>5.85</v>
      </c>
      <c r="V233">
        <v>2.79</v>
      </c>
      <c r="W233">
        <v>123.97</v>
      </c>
      <c r="X233" t="s">
        <v>57</v>
      </c>
      <c r="Y233" t="s">
        <v>40</v>
      </c>
    </row>
    <row r="234" spans="1:25" x14ac:dyDescent="0.3">
      <c r="A234">
        <v>233</v>
      </c>
      <c r="B234" t="s">
        <v>291</v>
      </c>
      <c r="C234" t="s">
        <v>251</v>
      </c>
      <c r="D234" t="s">
        <v>62</v>
      </c>
      <c r="E234" t="s">
        <v>28</v>
      </c>
      <c r="F234">
        <v>3</v>
      </c>
      <c r="G234">
        <v>250</v>
      </c>
      <c r="H234">
        <v>750</v>
      </c>
      <c r="I234">
        <v>110</v>
      </c>
      <c r="J234">
        <v>330</v>
      </c>
      <c r="K234">
        <v>420</v>
      </c>
      <c r="L234" t="s">
        <v>86</v>
      </c>
      <c r="M234" t="s">
        <v>63</v>
      </c>
      <c r="N234" t="s">
        <v>90</v>
      </c>
      <c r="O234">
        <v>29.31</v>
      </c>
      <c r="P234">
        <v>50.04</v>
      </c>
      <c r="Q234">
        <v>14.55</v>
      </c>
      <c r="R234">
        <v>32.17</v>
      </c>
      <c r="S234">
        <v>4.1399999999999997</v>
      </c>
      <c r="T234">
        <v>12.78</v>
      </c>
      <c r="U234">
        <v>2.99</v>
      </c>
      <c r="V234">
        <v>2.74</v>
      </c>
      <c r="W234">
        <v>271.27999999999997</v>
      </c>
      <c r="X234" t="s">
        <v>32</v>
      </c>
      <c r="Y234" t="s">
        <v>40</v>
      </c>
    </row>
    <row r="235" spans="1:25" x14ac:dyDescent="0.3">
      <c r="A235">
        <v>234</v>
      </c>
      <c r="B235" t="s">
        <v>155</v>
      </c>
      <c r="C235" t="s">
        <v>364</v>
      </c>
      <c r="D235" t="s">
        <v>89</v>
      </c>
      <c r="E235" t="s">
        <v>28</v>
      </c>
      <c r="F235">
        <v>3</v>
      </c>
      <c r="G235">
        <v>180</v>
      </c>
      <c r="H235">
        <v>540</v>
      </c>
      <c r="I235">
        <v>75</v>
      </c>
      <c r="J235">
        <v>225</v>
      </c>
      <c r="K235">
        <v>315</v>
      </c>
      <c r="L235" t="s">
        <v>29</v>
      </c>
      <c r="M235" t="s">
        <v>56</v>
      </c>
      <c r="N235" t="s">
        <v>90</v>
      </c>
      <c r="O235">
        <v>18.760000000000002</v>
      </c>
      <c r="P235">
        <v>48.58</v>
      </c>
      <c r="Q235">
        <v>5.3</v>
      </c>
      <c r="R235">
        <v>32.61</v>
      </c>
      <c r="S235">
        <v>1.17</v>
      </c>
      <c r="T235">
        <v>14.68</v>
      </c>
      <c r="U235">
        <v>7.9</v>
      </c>
      <c r="V235">
        <v>0.55000000000000004</v>
      </c>
      <c r="W235">
        <v>185.45</v>
      </c>
      <c r="X235" t="s">
        <v>57</v>
      </c>
      <c r="Y235" t="s">
        <v>40</v>
      </c>
    </row>
    <row r="236" spans="1:25" x14ac:dyDescent="0.3">
      <c r="A236">
        <v>235</v>
      </c>
      <c r="B236" t="s">
        <v>277</v>
      </c>
      <c r="C236" t="s">
        <v>260</v>
      </c>
      <c r="D236" t="s">
        <v>54</v>
      </c>
      <c r="E236" t="s">
        <v>28</v>
      </c>
      <c r="F236">
        <v>1</v>
      </c>
      <c r="G236">
        <v>120</v>
      </c>
      <c r="H236">
        <v>120</v>
      </c>
      <c r="I236">
        <v>50</v>
      </c>
      <c r="J236">
        <v>50</v>
      </c>
      <c r="K236">
        <v>70</v>
      </c>
      <c r="L236" t="s">
        <v>86</v>
      </c>
      <c r="M236" t="s">
        <v>30</v>
      </c>
      <c r="N236" t="s">
        <v>90</v>
      </c>
      <c r="O236">
        <v>38.19</v>
      </c>
      <c r="P236">
        <v>40.090000000000003</v>
      </c>
      <c r="Q236">
        <v>15.63</v>
      </c>
      <c r="R236">
        <v>4.79</v>
      </c>
      <c r="S236">
        <v>3.49</v>
      </c>
      <c r="T236">
        <v>5.28</v>
      </c>
      <c r="U236">
        <v>3.28</v>
      </c>
      <c r="V236">
        <v>2.79</v>
      </c>
      <c r="W236">
        <v>-43.54</v>
      </c>
      <c r="X236" t="s">
        <v>57</v>
      </c>
      <c r="Y236" t="s">
        <v>33</v>
      </c>
    </row>
    <row r="237" spans="1:25" x14ac:dyDescent="0.3">
      <c r="A237">
        <v>236</v>
      </c>
      <c r="B237" t="s">
        <v>284</v>
      </c>
      <c r="C237" t="s">
        <v>206</v>
      </c>
      <c r="D237" t="s">
        <v>27</v>
      </c>
      <c r="E237" t="s">
        <v>28</v>
      </c>
      <c r="F237">
        <v>2</v>
      </c>
      <c r="G237">
        <v>200</v>
      </c>
      <c r="H237">
        <v>400</v>
      </c>
      <c r="I237">
        <v>90</v>
      </c>
      <c r="J237">
        <v>180</v>
      </c>
      <c r="K237">
        <v>220</v>
      </c>
      <c r="L237" t="s">
        <v>86</v>
      </c>
      <c r="M237" t="s">
        <v>38</v>
      </c>
      <c r="N237" t="s">
        <v>90</v>
      </c>
      <c r="O237">
        <v>32.92</v>
      </c>
      <c r="P237">
        <v>33.99</v>
      </c>
      <c r="Q237">
        <v>19.28</v>
      </c>
      <c r="R237">
        <v>25.03</v>
      </c>
      <c r="S237">
        <v>0.71</v>
      </c>
      <c r="T237">
        <v>4.88</v>
      </c>
      <c r="U237">
        <v>7.97</v>
      </c>
      <c r="V237">
        <v>1.43</v>
      </c>
      <c r="W237">
        <v>93.79</v>
      </c>
      <c r="X237" t="s">
        <v>32</v>
      </c>
      <c r="Y237" t="s">
        <v>40</v>
      </c>
    </row>
    <row r="238" spans="1:25" x14ac:dyDescent="0.3">
      <c r="A238">
        <v>237</v>
      </c>
      <c r="B238" t="s">
        <v>177</v>
      </c>
      <c r="C238" t="s">
        <v>326</v>
      </c>
      <c r="D238" t="s">
        <v>43</v>
      </c>
      <c r="E238" t="s">
        <v>43</v>
      </c>
      <c r="F238">
        <v>1</v>
      </c>
      <c r="G238">
        <v>80</v>
      </c>
      <c r="H238">
        <v>80</v>
      </c>
      <c r="I238">
        <v>30</v>
      </c>
      <c r="J238">
        <v>30</v>
      </c>
      <c r="K238">
        <v>50</v>
      </c>
      <c r="L238" t="s">
        <v>44</v>
      </c>
      <c r="M238" t="s">
        <v>38</v>
      </c>
      <c r="N238" t="s">
        <v>31</v>
      </c>
      <c r="O238">
        <v>25.58</v>
      </c>
      <c r="P238">
        <v>40.4</v>
      </c>
      <c r="Q238">
        <v>8.51</v>
      </c>
      <c r="R238">
        <v>8.11</v>
      </c>
      <c r="S238">
        <v>3.01</v>
      </c>
      <c r="T238">
        <v>3.44</v>
      </c>
      <c r="U238">
        <v>4.47</v>
      </c>
      <c r="V238">
        <v>2.5</v>
      </c>
      <c r="W238">
        <v>-46.02</v>
      </c>
      <c r="X238" t="s">
        <v>66</v>
      </c>
      <c r="Y238" t="s">
        <v>40</v>
      </c>
    </row>
    <row r="239" spans="1:25" x14ac:dyDescent="0.3">
      <c r="A239">
        <v>238</v>
      </c>
      <c r="B239" t="s">
        <v>365</v>
      </c>
      <c r="C239" t="s">
        <v>120</v>
      </c>
      <c r="D239" t="s">
        <v>62</v>
      </c>
      <c r="E239" t="s">
        <v>28</v>
      </c>
      <c r="F239">
        <v>4</v>
      </c>
      <c r="G239">
        <v>250</v>
      </c>
      <c r="H239">
        <v>1000</v>
      </c>
      <c r="I239">
        <v>110</v>
      </c>
      <c r="J239">
        <v>440</v>
      </c>
      <c r="K239">
        <v>560</v>
      </c>
      <c r="L239" t="s">
        <v>37</v>
      </c>
      <c r="M239" t="s">
        <v>63</v>
      </c>
      <c r="N239" t="s">
        <v>39</v>
      </c>
      <c r="O239">
        <v>20.22</v>
      </c>
      <c r="P239">
        <v>17.79</v>
      </c>
      <c r="Q239">
        <v>7.84</v>
      </c>
      <c r="R239">
        <v>3.35</v>
      </c>
      <c r="S239">
        <v>1.39</v>
      </c>
      <c r="T239">
        <v>12.27</v>
      </c>
      <c r="U239">
        <v>6.3</v>
      </c>
      <c r="V239">
        <v>0.43</v>
      </c>
      <c r="W239">
        <v>490.41</v>
      </c>
      <c r="X239" t="s">
        <v>32</v>
      </c>
      <c r="Y239" t="s">
        <v>40</v>
      </c>
    </row>
    <row r="240" spans="1:25" x14ac:dyDescent="0.3">
      <c r="A240">
        <v>239</v>
      </c>
      <c r="B240" t="s">
        <v>291</v>
      </c>
      <c r="C240" t="s">
        <v>366</v>
      </c>
      <c r="D240" t="s">
        <v>36</v>
      </c>
      <c r="E240" t="s">
        <v>28</v>
      </c>
      <c r="F240">
        <v>1</v>
      </c>
      <c r="G240">
        <v>220</v>
      </c>
      <c r="H240">
        <v>220</v>
      </c>
      <c r="I240">
        <v>100</v>
      </c>
      <c r="J240">
        <v>100</v>
      </c>
      <c r="K240">
        <v>120</v>
      </c>
      <c r="L240" t="s">
        <v>44</v>
      </c>
      <c r="M240" t="s">
        <v>30</v>
      </c>
      <c r="N240" t="s">
        <v>51</v>
      </c>
      <c r="O240">
        <v>25.42</v>
      </c>
      <c r="P240">
        <v>41.14</v>
      </c>
      <c r="Q240">
        <v>7.5</v>
      </c>
      <c r="R240">
        <v>19.690000000000001</v>
      </c>
      <c r="S240">
        <v>0.71</v>
      </c>
      <c r="T240">
        <v>14.04</v>
      </c>
      <c r="U240">
        <v>4.32</v>
      </c>
      <c r="V240">
        <v>1.55</v>
      </c>
      <c r="W240">
        <v>5.63</v>
      </c>
      <c r="X240" t="s">
        <v>66</v>
      </c>
      <c r="Y240" t="s">
        <v>33</v>
      </c>
    </row>
    <row r="241" spans="1:25" x14ac:dyDescent="0.3">
      <c r="A241">
        <v>240</v>
      </c>
      <c r="B241" t="s">
        <v>191</v>
      </c>
      <c r="C241" t="s">
        <v>367</v>
      </c>
      <c r="D241" t="s">
        <v>89</v>
      </c>
      <c r="E241" t="s">
        <v>28</v>
      </c>
      <c r="F241">
        <v>3</v>
      </c>
      <c r="G241">
        <v>180</v>
      </c>
      <c r="H241">
        <v>540</v>
      </c>
      <c r="I241">
        <v>75</v>
      </c>
      <c r="J241">
        <v>225</v>
      </c>
      <c r="K241">
        <v>315</v>
      </c>
      <c r="L241" t="s">
        <v>29</v>
      </c>
      <c r="M241" t="s">
        <v>56</v>
      </c>
      <c r="N241" t="s">
        <v>51</v>
      </c>
      <c r="O241">
        <v>36.71</v>
      </c>
      <c r="P241">
        <v>59.4</v>
      </c>
      <c r="Q241">
        <v>17.95</v>
      </c>
      <c r="R241">
        <v>22.24</v>
      </c>
      <c r="S241">
        <v>1.93</v>
      </c>
      <c r="T241">
        <v>12.49</v>
      </c>
      <c r="U241">
        <v>6.92</v>
      </c>
      <c r="V241">
        <v>2.52</v>
      </c>
      <c r="W241">
        <v>154.84</v>
      </c>
      <c r="X241" t="s">
        <v>32</v>
      </c>
      <c r="Y241" t="s">
        <v>40</v>
      </c>
    </row>
    <row r="242" spans="1:25" x14ac:dyDescent="0.3">
      <c r="A242">
        <v>241</v>
      </c>
      <c r="B242" t="s">
        <v>97</v>
      </c>
      <c r="C242" t="s">
        <v>368</v>
      </c>
      <c r="D242" t="s">
        <v>36</v>
      </c>
      <c r="E242" t="s">
        <v>28</v>
      </c>
      <c r="F242">
        <v>3</v>
      </c>
      <c r="G242">
        <v>220</v>
      </c>
      <c r="H242">
        <v>660</v>
      </c>
      <c r="I242">
        <v>100</v>
      </c>
      <c r="J242">
        <v>300</v>
      </c>
      <c r="K242">
        <v>360</v>
      </c>
      <c r="L242" t="s">
        <v>44</v>
      </c>
      <c r="M242" t="s">
        <v>63</v>
      </c>
      <c r="N242" t="s">
        <v>39</v>
      </c>
      <c r="O242">
        <v>14.54</v>
      </c>
      <c r="P242">
        <v>46.97</v>
      </c>
      <c r="Q242">
        <v>6</v>
      </c>
      <c r="R242">
        <v>17.690000000000001</v>
      </c>
      <c r="S242">
        <v>2.95</v>
      </c>
      <c r="T242">
        <v>11.84</v>
      </c>
      <c r="U242">
        <v>2.95</v>
      </c>
      <c r="V242">
        <v>2.08</v>
      </c>
      <c r="W242">
        <v>254.98</v>
      </c>
      <c r="X242" t="s">
        <v>66</v>
      </c>
      <c r="Y242" t="s">
        <v>33</v>
      </c>
    </row>
    <row r="243" spans="1:25" x14ac:dyDescent="0.3">
      <c r="A243">
        <v>242</v>
      </c>
      <c r="B243" t="s">
        <v>174</v>
      </c>
      <c r="C243" t="s">
        <v>369</v>
      </c>
      <c r="D243" t="s">
        <v>89</v>
      </c>
      <c r="E243" t="s">
        <v>28</v>
      </c>
      <c r="F243">
        <v>4</v>
      </c>
      <c r="G243">
        <v>180</v>
      </c>
      <c r="H243">
        <v>720</v>
      </c>
      <c r="I243">
        <v>75</v>
      </c>
      <c r="J243">
        <v>300</v>
      </c>
      <c r="K243">
        <v>420</v>
      </c>
      <c r="L243" t="s">
        <v>86</v>
      </c>
      <c r="M243" t="s">
        <v>30</v>
      </c>
      <c r="N243" t="s">
        <v>81</v>
      </c>
      <c r="O243">
        <v>37.71</v>
      </c>
      <c r="P243">
        <v>54.03</v>
      </c>
      <c r="Q243">
        <v>18.309999999999999</v>
      </c>
      <c r="R243">
        <v>32.24</v>
      </c>
      <c r="S243">
        <v>2.2599999999999998</v>
      </c>
      <c r="T243">
        <v>9.24</v>
      </c>
      <c r="U243">
        <v>6.86</v>
      </c>
      <c r="V243">
        <v>1.47</v>
      </c>
      <c r="W243">
        <v>257.88</v>
      </c>
      <c r="X243" t="s">
        <v>32</v>
      </c>
      <c r="Y243" t="s">
        <v>40</v>
      </c>
    </row>
    <row r="244" spans="1:25" x14ac:dyDescent="0.3">
      <c r="A244">
        <v>243</v>
      </c>
      <c r="B244" t="s">
        <v>340</v>
      </c>
      <c r="C244" t="s">
        <v>370</v>
      </c>
      <c r="D244" t="s">
        <v>43</v>
      </c>
      <c r="E244" t="s">
        <v>43</v>
      </c>
      <c r="F244">
        <v>1</v>
      </c>
      <c r="G244">
        <v>80</v>
      </c>
      <c r="H244">
        <v>80</v>
      </c>
      <c r="I244">
        <v>30</v>
      </c>
      <c r="J244">
        <v>30</v>
      </c>
      <c r="K244">
        <v>50</v>
      </c>
      <c r="L244" t="s">
        <v>44</v>
      </c>
      <c r="M244" t="s">
        <v>63</v>
      </c>
      <c r="N244" t="s">
        <v>31</v>
      </c>
      <c r="O244">
        <v>31.88</v>
      </c>
      <c r="P244">
        <v>47.77</v>
      </c>
      <c r="Q244">
        <v>12.97</v>
      </c>
      <c r="R244">
        <v>1.93</v>
      </c>
      <c r="S244">
        <v>2.42</v>
      </c>
      <c r="T244">
        <v>11.21</v>
      </c>
      <c r="U244">
        <v>5.64</v>
      </c>
      <c r="V244">
        <v>2.71</v>
      </c>
      <c r="W244">
        <v>-66.53</v>
      </c>
      <c r="X244" t="s">
        <v>66</v>
      </c>
      <c r="Y244" t="s">
        <v>40</v>
      </c>
    </row>
    <row r="245" spans="1:25" x14ac:dyDescent="0.3">
      <c r="A245">
        <v>244</v>
      </c>
      <c r="B245" t="s">
        <v>263</v>
      </c>
      <c r="C245" t="s">
        <v>371</v>
      </c>
      <c r="D245" t="s">
        <v>49</v>
      </c>
      <c r="E245" t="s">
        <v>50</v>
      </c>
      <c r="F245">
        <v>4</v>
      </c>
      <c r="G245">
        <v>180</v>
      </c>
      <c r="H245">
        <v>720</v>
      </c>
      <c r="I245">
        <v>90</v>
      </c>
      <c r="J245">
        <v>360</v>
      </c>
      <c r="K245">
        <v>360</v>
      </c>
      <c r="L245" t="s">
        <v>29</v>
      </c>
      <c r="M245" t="s">
        <v>63</v>
      </c>
      <c r="N245" t="s">
        <v>51</v>
      </c>
      <c r="O245">
        <v>10.26</v>
      </c>
      <c r="P245">
        <v>18.170000000000002</v>
      </c>
      <c r="Q245">
        <v>17.87</v>
      </c>
      <c r="R245">
        <v>32.32</v>
      </c>
      <c r="S245">
        <v>4.9000000000000004</v>
      </c>
      <c r="T245">
        <v>9.76</v>
      </c>
      <c r="U245">
        <v>4.4400000000000004</v>
      </c>
      <c r="V245">
        <v>1.78</v>
      </c>
      <c r="W245">
        <v>260.5</v>
      </c>
      <c r="X245" t="s">
        <v>32</v>
      </c>
      <c r="Y245" t="s">
        <v>33</v>
      </c>
    </row>
    <row r="246" spans="1:25" x14ac:dyDescent="0.3">
      <c r="A246">
        <v>245</v>
      </c>
      <c r="B246" t="s">
        <v>177</v>
      </c>
      <c r="C246" t="s">
        <v>355</v>
      </c>
      <c r="D246" t="s">
        <v>62</v>
      </c>
      <c r="E246" t="s">
        <v>28</v>
      </c>
      <c r="F246">
        <v>2</v>
      </c>
      <c r="G246">
        <v>250</v>
      </c>
      <c r="H246">
        <v>500</v>
      </c>
      <c r="I246">
        <v>110</v>
      </c>
      <c r="J246">
        <v>220</v>
      </c>
      <c r="K246">
        <v>280</v>
      </c>
      <c r="L246" t="s">
        <v>86</v>
      </c>
      <c r="M246" t="s">
        <v>45</v>
      </c>
      <c r="N246" t="s">
        <v>51</v>
      </c>
      <c r="O246">
        <v>27.16</v>
      </c>
      <c r="P246">
        <v>56.15</v>
      </c>
      <c r="Q246">
        <v>14.31</v>
      </c>
      <c r="R246">
        <v>3.87</v>
      </c>
      <c r="S246">
        <v>4.55</v>
      </c>
      <c r="T246">
        <v>14.83</v>
      </c>
      <c r="U246">
        <v>4.54</v>
      </c>
      <c r="V246">
        <v>1.54</v>
      </c>
      <c r="W246">
        <v>153.05000000000001</v>
      </c>
      <c r="X246" t="s">
        <v>66</v>
      </c>
      <c r="Y246" t="s">
        <v>33</v>
      </c>
    </row>
    <row r="247" spans="1:25" x14ac:dyDescent="0.3">
      <c r="A247">
        <v>246</v>
      </c>
      <c r="B247" t="s">
        <v>172</v>
      </c>
      <c r="C247" t="s">
        <v>372</v>
      </c>
      <c r="D247" t="s">
        <v>89</v>
      </c>
      <c r="E247" t="s">
        <v>28</v>
      </c>
      <c r="F247">
        <v>1</v>
      </c>
      <c r="G247">
        <v>180</v>
      </c>
      <c r="H247">
        <v>180</v>
      </c>
      <c r="I247">
        <v>75</v>
      </c>
      <c r="J247">
        <v>75</v>
      </c>
      <c r="K247">
        <v>105</v>
      </c>
      <c r="L247" t="s">
        <v>55</v>
      </c>
      <c r="M247" t="s">
        <v>38</v>
      </c>
      <c r="N247" t="s">
        <v>39</v>
      </c>
      <c r="O247">
        <v>12.94</v>
      </c>
      <c r="P247">
        <v>41.45</v>
      </c>
      <c r="Q247">
        <v>12.68</v>
      </c>
      <c r="R247">
        <v>4.09</v>
      </c>
      <c r="S247">
        <v>4.2</v>
      </c>
      <c r="T247">
        <v>7.13</v>
      </c>
      <c r="U247">
        <v>3.82</v>
      </c>
      <c r="V247">
        <v>0.52</v>
      </c>
      <c r="W247">
        <v>18.170000000000002</v>
      </c>
      <c r="X247" t="s">
        <v>66</v>
      </c>
      <c r="Y247" t="s">
        <v>33</v>
      </c>
    </row>
    <row r="248" spans="1:25" x14ac:dyDescent="0.3">
      <c r="A248">
        <v>247</v>
      </c>
      <c r="B248" t="s">
        <v>134</v>
      </c>
      <c r="C248" t="s">
        <v>373</v>
      </c>
      <c r="D248" t="s">
        <v>109</v>
      </c>
      <c r="E248" t="s">
        <v>50</v>
      </c>
      <c r="F248">
        <v>4</v>
      </c>
      <c r="G248">
        <v>150</v>
      </c>
      <c r="H248">
        <v>600</v>
      </c>
      <c r="I248">
        <v>70</v>
      </c>
      <c r="J248">
        <v>280</v>
      </c>
      <c r="K248">
        <v>320</v>
      </c>
      <c r="L248" t="s">
        <v>86</v>
      </c>
      <c r="M248" t="s">
        <v>38</v>
      </c>
      <c r="N248" t="s">
        <v>31</v>
      </c>
      <c r="O248">
        <v>18.739999999999998</v>
      </c>
      <c r="P248">
        <v>53.17</v>
      </c>
      <c r="Q248">
        <v>7.51</v>
      </c>
      <c r="R248">
        <v>10.55</v>
      </c>
      <c r="S248">
        <v>0.64</v>
      </c>
      <c r="T248">
        <v>9.02</v>
      </c>
      <c r="U248">
        <v>3.06</v>
      </c>
      <c r="V248">
        <v>1.05</v>
      </c>
      <c r="W248">
        <v>216.26</v>
      </c>
      <c r="X248" t="s">
        <v>66</v>
      </c>
      <c r="Y248" t="s">
        <v>40</v>
      </c>
    </row>
    <row r="249" spans="1:25" x14ac:dyDescent="0.3">
      <c r="A249">
        <v>248</v>
      </c>
      <c r="B249" t="s">
        <v>47</v>
      </c>
      <c r="C249" t="s">
        <v>374</v>
      </c>
      <c r="D249" t="s">
        <v>43</v>
      </c>
      <c r="E249" t="s">
        <v>43</v>
      </c>
      <c r="F249">
        <v>1</v>
      </c>
      <c r="G249">
        <v>80</v>
      </c>
      <c r="H249">
        <v>80</v>
      </c>
      <c r="I249">
        <v>30</v>
      </c>
      <c r="J249">
        <v>30</v>
      </c>
      <c r="K249">
        <v>50</v>
      </c>
      <c r="L249" t="s">
        <v>55</v>
      </c>
      <c r="M249" t="s">
        <v>45</v>
      </c>
      <c r="N249" t="s">
        <v>90</v>
      </c>
      <c r="O249">
        <v>19.09</v>
      </c>
      <c r="P249">
        <v>32.96</v>
      </c>
      <c r="Q249">
        <v>9.98</v>
      </c>
      <c r="R249">
        <v>28.44</v>
      </c>
      <c r="S249">
        <v>4.29</v>
      </c>
      <c r="T249">
        <v>6.64</v>
      </c>
      <c r="U249">
        <v>4.88</v>
      </c>
      <c r="V249">
        <v>1.28</v>
      </c>
      <c r="W249">
        <v>-57.56</v>
      </c>
      <c r="X249" t="s">
        <v>57</v>
      </c>
      <c r="Y249" t="s">
        <v>33</v>
      </c>
    </row>
    <row r="250" spans="1:25" x14ac:dyDescent="0.3">
      <c r="A250">
        <v>249</v>
      </c>
      <c r="B250" t="s">
        <v>132</v>
      </c>
      <c r="C250" t="s">
        <v>375</v>
      </c>
      <c r="D250" t="s">
        <v>89</v>
      </c>
      <c r="E250" t="s">
        <v>28</v>
      </c>
      <c r="F250">
        <v>1</v>
      </c>
      <c r="G250">
        <v>180</v>
      </c>
      <c r="H250">
        <v>180</v>
      </c>
      <c r="I250">
        <v>75</v>
      </c>
      <c r="J250">
        <v>75</v>
      </c>
      <c r="K250">
        <v>105</v>
      </c>
      <c r="L250" t="s">
        <v>55</v>
      </c>
      <c r="M250" t="s">
        <v>63</v>
      </c>
      <c r="N250" t="s">
        <v>51</v>
      </c>
      <c r="O250">
        <v>34.25</v>
      </c>
      <c r="P250">
        <v>24.51</v>
      </c>
      <c r="Q250">
        <v>15.53</v>
      </c>
      <c r="R250">
        <v>3.41</v>
      </c>
      <c r="S250">
        <v>4.25</v>
      </c>
      <c r="T250">
        <v>7.42</v>
      </c>
      <c r="U250">
        <v>1.01</v>
      </c>
      <c r="V250">
        <v>0.14000000000000001</v>
      </c>
      <c r="W250">
        <v>14.48</v>
      </c>
      <c r="X250" t="s">
        <v>66</v>
      </c>
      <c r="Y250" t="s">
        <v>33</v>
      </c>
    </row>
    <row r="251" spans="1:25" x14ac:dyDescent="0.3">
      <c r="A251">
        <v>250</v>
      </c>
      <c r="B251" t="s">
        <v>87</v>
      </c>
      <c r="C251" t="s">
        <v>226</v>
      </c>
      <c r="D251" t="s">
        <v>43</v>
      </c>
      <c r="E251" t="s">
        <v>43</v>
      </c>
      <c r="F251">
        <v>1</v>
      </c>
      <c r="G251">
        <v>80</v>
      </c>
      <c r="H251">
        <v>80</v>
      </c>
      <c r="I251">
        <v>30</v>
      </c>
      <c r="J251">
        <v>30</v>
      </c>
      <c r="K251">
        <v>50</v>
      </c>
      <c r="L251" t="s">
        <v>29</v>
      </c>
      <c r="M251" t="s">
        <v>56</v>
      </c>
      <c r="N251" t="s">
        <v>81</v>
      </c>
      <c r="O251">
        <v>23.05</v>
      </c>
      <c r="P251">
        <v>46.51</v>
      </c>
      <c r="Q251">
        <v>7.34</v>
      </c>
      <c r="R251">
        <v>8.64</v>
      </c>
      <c r="S251">
        <v>0.88</v>
      </c>
      <c r="T251">
        <v>12.75</v>
      </c>
      <c r="U251">
        <v>2.69</v>
      </c>
      <c r="V251">
        <v>2.4300000000000002</v>
      </c>
      <c r="W251">
        <v>-54.29</v>
      </c>
      <c r="X251" t="s">
        <v>57</v>
      </c>
      <c r="Y251" t="s">
        <v>40</v>
      </c>
    </row>
    <row r="252" spans="1:25" x14ac:dyDescent="0.3">
      <c r="A252">
        <v>251</v>
      </c>
      <c r="B252" t="s">
        <v>301</v>
      </c>
      <c r="C252" t="s">
        <v>190</v>
      </c>
      <c r="D252" t="s">
        <v>27</v>
      </c>
      <c r="E252" t="s">
        <v>28</v>
      </c>
      <c r="F252">
        <v>3</v>
      </c>
      <c r="G252">
        <v>200</v>
      </c>
      <c r="H252">
        <v>600</v>
      </c>
      <c r="I252">
        <v>90</v>
      </c>
      <c r="J252">
        <v>270</v>
      </c>
      <c r="K252">
        <v>330</v>
      </c>
      <c r="L252" t="s">
        <v>29</v>
      </c>
      <c r="M252" t="s">
        <v>63</v>
      </c>
      <c r="N252" t="s">
        <v>81</v>
      </c>
      <c r="O252">
        <v>17.82</v>
      </c>
      <c r="P252">
        <v>52.04</v>
      </c>
      <c r="Q252">
        <v>14.88</v>
      </c>
      <c r="R252">
        <v>16.05</v>
      </c>
      <c r="S252">
        <v>1.81</v>
      </c>
      <c r="T252">
        <v>3.66</v>
      </c>
      <c r="U252">
        <v>6.92</v>
      </c>
      <c r="V252">
        <v>1.82</v>
      </c>
      <c r="W252">
        <v>215</v>
      </c>
      <c r="X252" t="s">
        <v>66</v>
      </c>
      <c r="Y252" t="s">
        <v>33</v>
      </c>
    </row>
    <row r="253" spans="1:25" x14ac:dyDescent="0.3">
      <c r="A253">
        <v>252</v>
      </c>
      <c r="B253" t="s">
        <v>376</v>
      </c>
      <c r="C253" t="s">
        <v>167</v>
      </c>
      <c r="D253" t="s">
        <v>62</v>
      </c>
      <c r="E253" t="s">
        <v>28</v>
      </c>
      <c r="F253">
        <v>1</v>
      </c>
      <c r="G253">
        <v>250</v>
      </c>
      <c r="H253">
        <v>250</v>
      </c>
      <c r="I253">
        <v>110</v>
      </c>
      <c r="J253">
        <v>110</v>
      </c>
      <c r="K253">
        <v>140</v>
      </c>
      <c r="L253" t="s">
        <v>37</v>
      </c>
      <c r="M253" t="s">
        <v>38</v>
      </c>
      <c r="N253" t="s">
        <v>90</v>
      </c>
      <c r="O253">
        <v>23.53</v>
      </c>
      <c r="P253">
        <v>19.34</v>
      </c>
      <c r="Q253">
        <v>7.31</v>
      </c>
      <c r="R253">
        <v>16.14</v>
      </c>
      <c r="S253">
        <v>0.56000000000000005</v>
      </c>
      <c r="T253">
        <v>10.46</v>
      </c>
      <c r="U253">
        <v>5.8</v>
      </c>
      <c r="V253">
        <v>2.2400000000000002</v>
      </c>
      <c r="W253">
        <v>54.62</v>
      </c>
      <c r="X253" t="s">
        <v>66</v>
      </c>
      <c r="Y253" t="s">
        <v>33</v>
      </c>
    </row>
    <row r="254" spans="1:25" x14ac:dyDescent="0.3">
      <c r="A254">
        <v>253</v>
      </c>
      <c r="B254" t="s">
        <v>225</v>
      </c>
      <c r="C254" t="s">
        <v>248</v>
      </c>
      <c r="D254" t="s">
        <v>109</v>
      </c>
      <c r="E254" t="s">
        <v>50</v>
      </c>
      <c r="F254">
        <v>4</v>
      </c>
      <c r="G254">
        <v>150</v>
      </c>
      <c r="H254">
        <v>600</v>
      </c>
      <c r="I254">
        <v>70</v>
      </c>
      <c r="J254">
        <v>280</v>
      </c>
      <c r="K254">
        <v>320</v>
      </c>
      <c r="L254" t="s">
        <v>37</v>
      </c>
      <c r="M254" t="s">
        <v>63</v>
      </c>
      <c r="N254" t="s">
        <v>90</v>
      </c>
      <c r="O254">
        <v>27.77</v>
      </c>
      <c r="P254">
        <v>42.13</v>
      </c>
      <c r="Q254">
        <v>9.2200000000000006</v>
      </c>
      <c r="R254">
        <v>14.1</v>
      </c>
      <c r="S254">
        <v>4.58</v>
      </c>
      <c r="T254">
        <v>10.09</v>
      </c>
      <c r="U254">
        <v>7.18</v>
      </c>
      <c r="V254">
        <v>1.6</v>
      </c>
      <c r="W254">
        <v>203.33</v>
      </c>
      <c r="X254" t="s">
        <v>32</v>
      </c>
      <c r="Y254" t="s">
        <v>33</v>
      </c>
    </row>
    <row r="255" spans="1:25" x14ac:dyDescent="0.3">
      <c r="A255">
        <v>254</v>
      </c>
      <c r="B255" t="s">
        <v>64</v>
      </c>
      <c r="C255" t="s">
        <v>377</v>
      </c>
      <c r="D255" t="s">
        <v>54</v>
      </c>
      <c r="E255" t="s">
        <v>28</v>
      </c>
      <c r="F255">
        <v>1</v>
      </c>
      <c r="G255">
        <v>120</v>
      </c>
      <c r="H255">
        <v>120</v>
      </c>
      <c r="I255">
        <v>50</v>
      </c>
      <c r="J255">
        <v>50</v>
      </c>
      <c r="K255">
        <v>70</v>
      </c>
      <c r="L255" t="s">
        <v>37</v>
      </c>
      <c r="M255" t="s">
        <v>45</v>
      </c>
      <c r="N255" t="s">
        <v>81</v>
      </c>
      <c r="O255">
        <v>38.33</v>
      </c>
      <c r="P255">
        <v>54.85</v>
      </c>
      <c r="Q255">
        <v>14.69</v>
      </c>
      <c r="R255">
        <v>15.18</v>
      </c>
      <c r="S255">
        <v>0.69</v>
      </c>
      <c r="T255">
        <v>7.49</v>
      </c>
      <c r="U255">
        <v>1.79</v>
      </c>
      <c r="V255">
        <v>2.78</v>
      </c>
      <c r="W255">
        <v>-65.8</v>
      </c>
      <c r="X255" t="s">
        <v>32</v>
      </c>
      <c r="Y255" t="s">
        <v>33</v>
      </c>
    </row>
    <row r="256" spans="1:25" x14ac:dyDescent="0.3">
      <c r="A256">
        <v>255</v>
      </c>
      <c r="B256" t="s">
        <v>95</v>
      </c>
      <c r="C256" t="s">
        <v>162</v>
      </c>
      <c r="D256" t="s">
        <v>109</v>
      </c>
      <c r="E256" t="s">
        <v>50</v>
      </c>
      <c r="F256">
        <v>3</v>
      </c>
      <c r="G256">
        <v>150</v>
      </c>
      <c r="H256">
        <v>450</v>
      </c>
      <c r="I256">
        <v>70</v>
      </c>
      <c r="J256">
        <v>210</v>
      </c>
      <c r="K256">
        <v>240</v>
      </c>
      <c r="L256" t="s">
        <v>55</v>
      </c>
      <c r="M256" t="s">
        <v>30</v>
      </c>
      <c r="N256" t="s">
        <v>51</v>
      </c>
      <c r="O256">
        <v>10.63</v>
      </c>
      <c r="P256">
        <v>58.02</v>
      </c>
      <c r="Q256">
        <v>16.25</v>
      </c>
      <c r="R256">
        <v>16.59</v>
      </c>
      <c r="S256">
        <v>4.42</v>
      </c>
      <c r="T256">
        <v>4.8499999999999996</v>
      </c>
      <c r="U256">
        <v>4.71</v>
      </c>
      <c r="V256">
        <v>2.15</v>
      </c>
      <c r="W256">
        <v>122.38</v>
      </c>
      <c r="X256" t="s">
        <v>66</v>
      </c>
      <c r="Y256" t="s">
        <v>40</v>
      </c>
    </row>
    <row r="257" spans="1:25" x14ac:dyDescent="0.3">
      <c r="A257">
        <v>256</v>
      </c>
      <c r="B257" t="s">
        <v>105</v>
      </c>
      <c r="C257" t="s">
        <v>181</v>
      </c>
      <c r="D257" t="s">
        <v>109</v>
      </c>
      <c r="E257" t="s">
        <v>50</v>
      </c>
      <c r="F257">
        <v>4</v>
      </c>
      <c r="G257">
        <v>150</v>
      </c>
      <c r="H257">
        <v>600</v>
      </c>
      <c r="I257">
        <v>70</v>
      </c>
      <c r="J257">
        <v>280</v>
      </c>
      <c r="K257">
        <v>320</v>
      </c>
      <c r="L257" t="s">
        <v>29</v>
      </c>
      <c r="M257" t="s">
        <v>63</v>
      </c>
      <c r="N257" t="s">
        <v>39</v>
      </c>
      <c r="O257">
        <v>12.87</v>
      </c>
      <c r="P257">
        <v>32.020000000000003</v>
      </c>
      <c r="Q257">
        <v>10.220000000000001</v>
      </c>
      <c r="R257">
        <v>6.41</v>
      </c>
      <c r="S257">
        <v>0.71</v>
      </c>
      <c r="T257">
        <v>7.33</v>
      </c>
      <c r="U257">
        <v>2.76</v>
      </c>
      <c r="V257">
        <v>1.6</v>
      </c>
      <c r="W257">
        <v>246.08</v>
      </c>
      <c r="X257" t="s">
        <v>66</v>
      </c>
      <c r="Y257" t="s">
        <v>40</v>
      </c>
    </row>
    <row r="258" spans="1:25" x14ac:dyDescent="0.3">
      <c r="A258">
        <v>257</v>
      </c>
      <c r="B258" t="s">
        <v>298</v>
      </c>
      <c r="C258" t="s">
        <v>319</v>
      </c>
      <c r="D258" t="s">
        <v>89</v>
      </c>
      <c r="E258" t="s">
        <v>28</v>
      </c>
      <c r="F258">
        <v>2</v>
      </c>
      <c r="G258">
        <v>180</v>
      </c>
      <c r="H258">
        <v>360</v>
      </c>
      <c r="I258">
        <v>75</v>
      </c>
      <c r="J258">
        <v>150</v>
      </c>
      <c r="K258">
        <v>210</v>
      </c>
      <c r="L258" t="s">
        <v>44</v>
      </c>
      <c r="M258" t="s">
        <v>63</v>
      </c>
      <c r="N258" t="s">
        <v>90</v>
      </c>
      <c r="O258">
        <v>39.65</v>
      </c>
      <c r="P258">
        <v>44.19</v>
      </c>
      <c r="Q258">
        <v>5.61</v>
      </c>
      <c r="R258">
        <v>32.729999999999997</v>
      </c>
      <c r="S258">
        <v>1.75</v>
      </c>
      <c r="T258">
        <v>3.41</v>
      </c>
      <c r="U258">
        <v>6.98</v>
      </c>
      <c r="V258">
        <v>1.21</v>
      </c>
      <c r="W258">
        <v>74.47</v>
      </c>
      <c r="X258" t="s">
        <v>32</v>
      </c>
      <c r="Y258" t="s">
        <v>33</v>
      </c>
    </row>
    <row r="259" spans="1:25" x14ac:dyDescent="0.3">
      <c r="A259">
        <v>258</v>
      </c>
      <c r="B259" t="s">
        <v>155</v>
      </c>
      <c r="C259" t="s">
        <v>378</v>
      </c>
      <c r="D259" t="s">
        <v>49</v>
      </c>
      <c r="E259" t="s">
        <v>50</v>
      </c>
      <c r="F259">
        <v>2</v>
      </c>
      <c r="G259">
        <v>180</v>
      </c>
      <c r="H259">
        <v>360</v>
      </c>
      <c r="I259">
        <v>90</v>
      </c>
      <c r="J259">
        <v>180</v>
      </c>
      <c r="K259">
        <v>180</v>
      </c>
      <c r="L259" t="s">
        <v>86</v>
      </c>
      <c r="M259" t="s">
        <v>56</v>
      </c>
      <c r="N259" t="s">
        <v>90</v>
      </c>
      <c r="O259">
        <v>16.23</v>
      </c>
      <c r="P259">
        <v>22.45</v>
      </c>
      <c r="Q259">
        <v>17.63</v>
      </c>
      <c r="R259">
        <v>28.57</v>
      </c>
      <c r="S259">
        <v>4.18</v>
      </c>
      <c r="T259">
        <v>8.16</v>
      </c>
      <c r="U259">
        <v>4.58</v>
      </c>
      <c r="V259">
        <v>1.48</v>
      </c>
      <c r="W259">
        <v>76.72</v>
      </c>
      <c r="X259" t="s">
        <v>57</v>
      </c>
      <c r="Y259" t="s">
        <v>33</v>
      </c>
    </row>
    <row r="260" spans="1:25" x14ac:dyDescent="0.3">
      <c r="A260">
        <v>259</v>
      </c>
      <c r="B260" t="s">
        <v>379</v>
      </c>
      <c r="C260" t="s">
        <v>349</v>
      </c>
      <c r="D260" t="s">
        <v>109</v>
      </c>
      <c r="E260" t="s">
        <v>50</v>
      </c>
      <c r="F260">
        <v>4</v>
      </c>
      <c r="G260">
        <v>150</v>
      </c>
      <c r="H260">
        <v>600</v>
      </c>
      <c r="I260">
        <v>70</v>
      </c>
      <c r="J260">
        <v>280</v>
      </c>
      <c r="K260">
        <v>320</v>
      </c>
      <c r="L260" t="s">
        <v>44</v>
      </c>
      <c r="M260" t="s">
        <v>38</v>
      </c>
      <c r="N260" t="s">
        <v>31</v>
      </c>
      <c r="O260">
        <v>35.83</v>
      </c>
      <c r="P260">
        <v>38.43</v>
      </c>
      <c r="Q260">
        <v>6.93</v>
      </c>
      <c r="R260">
        <v>2.12</v>
      </c>
      <c r="S260">
        <v>1.17</v>
      </c>
      <c r="T260">
        <v>3.58</v>
      </c>
      <c r="U260">
        <v>7.38</v>
      </c>
      <c r="V260">
        <v>2.29</v>
      </c>
      <c r="W260">
        <v>222.27</v>
      </c>
      <c r="X260" t="s">
        <v>66</v>
      </c>
      <c r="Y260" t="s">
        <v>33</v>
      </c>
    </row>
    <row r="261" spans="1:25" x14ac:dyDescent="0.3">
      <c r="A261">
        <v>260</v>
      </c>
      <c r="B261" t="s">
        <v>67</v>
      </c>
      <c r="C261" t="s">
        <v>380</v>
      </c>
      <c r="D261" t="s">
        <v>43</v>
      </c>
      <c r="E261" t="s">
        <v>43</v>
      </c>
      <c r="F261">
        <v>3</v>
      </c>
      <c r="G261">
        <v>80</v>
      </c>
      <c r="H261">
        <v>240</v>
      </c>
      <c r="I261">
        <v>30</v>
      </c>
      <c r="J261">
        <v>90</v>
      </c>
      <c r="K261">
        <v>150</v>
      </c>
      <c r="L261" t="s">
        <v>37</v>
      </c>
      <c r="M261" t="s">
        <v>38</v>
      </c>
      <c r="N261" t="s">
        <v>51</v>
      </c>
      <c r="O261">
        <v>23.96</v>
      </c>
      <c r="P261">
        <v>46.91</v>
      </c>
      <c r="Q261">
        <v>8.41</v>
      </c>
      <c r="R261">
        <v>20.13</v>
      </c>
      <c r="S261">
        <v>1.54</v>
      </c>
      <c r="T261">
        <v>2.74</v>
      </c>
      <c r="U261">
        <v>3.07</v>
      </c>
      <c r="V261">
        <v>2.71</v>
      </c>
      <c r="W261">
        <v>40.53</v>
      </c>
      <c r="X261" t="s">
        <v>32</v>
      </c>
      <c r="Y261" t="s">
        <v>40</v>
      </c>
    </row>
    <row r="262" spans="1:25" x14ac:dyDescent="0.3">
      <c r="A262">
        <v>261</v>
      </c>
      <c r="B262" t="s">
        <v>82</v>
      </c>
      <c r="C262" t="s">
        <v>381</v>
      </c>
      <c r="D262" t="s">
        <v>43</v>
      </c>
      <c r="E262" t="s">
        <v>43</v>
      </c>
      <c r="F262">
        <v>3</v>
      </c>
      <c r="G262">
        <v>80</v>
      </c>
      <c r="H262">
        <v>240</v>
      </c>
      <c r="I262">
        <v>30</v>
      </c>
      <c r="J262">
        <v>90</v>
      </c>
      <c r="K262">
        <v>150</v>
      </c>
      <c r="L262" t="s">
        <v>37</v>
      </c>
      <c r="M262" t="s">
        <v>45</v>
      </c>
      <c r="N262" t="s">
        <v>51</v>
      </c>
      <c r="O262">
        <v>16.350000000000001</v>
      </c>
      <c r="P262">
        <v>15.33</v>
      </c>
      <c r="Q262">
        <v>6.45</v>
      </c>
      <c r="R262">
        <v>11.43</v>
      </c>
      <c r="S262">
        <v>2.79</v>
      </c>
      <c r="T262">
        <v>3.84</v>
      </c>
      <c r="U262">
        <v>2.35</v>
      </c>
      <c r="V262">
        <v>0.97</v>
      </c>
      <c r="W262">
        <v>90.49</v>
      </c>
      <c r="X262" t="s">
        <v>66</v>
      </c>
      <c r="Y262" t="s">
        <v>33</v>
      </c>
    </row>
    <row r="263" spans="1:25" x14ac:dyDescent="0.3">
      <c r="A263">
        <v>262</v>
      </c>
      <c r="B263" t="s">
        <v>79</v>
      </c>
      <c r="C263" t="s">
        <v>366</v>
      </c>
      <c r="D263" t="s">
        <v>54</v>
      </c>
      <c r="E263" t="s">
        <v>28</v>
      </c>
      <c r="F263">
        <v>3</v>
      </c>
      <c r="G263">
        <v>120</v>
      </c>
      <c r="H263">
        <v>360</v>
      </c>
      <c r="I263">
        <v>50</v>
      </c>
      <c r="J263">
        <v>150</v>
      </c>
      <c r="K263">
        <v>210</v>
      </c>
      <c r="L263" t="s">
        <v>44</v>
      </c>
      <c r="M263" t="s">
        <v>56</v>
      </c>
      <c r="N263" t="s">
        <v>90</v>
      </c>
      <c r="O263">
        <v>35.07</v>
      </c>
      <c r="P263">
        <v>50.43</v>
      </c>
      <c r="Q263">
        <v>7.36</v>
      </c>
      <c r="R263">
        <v>3.24</v>
      </c>
      <c r="S263">
        <v>4.5199999999999996</v>
      </c>
      <c r="T263">
        <v>13.57</v>
      </c>
      <c r="U263">
        <v>1.95</v>
      </c>
      <c r="V263">
        <v>2.06</v>
      </c>
      <c r="W263">
        <v>91.8</v>
      </c>
      <c r="X263" t="s">
        <v>57</v>
      </c>
      <c r="Y263" t="s">
        <v>40</v>
      </c>
    </row>
    <row r="264" spans="1:25" x14ac:dyDescent="0.3">
      <c r="A264">
        <v>263</v>
      </c>
      <c r="B264" t="s">
        <v>155</v>
      </c>
      <c r="C264" t="s">
        <v>382</v>
      </c>
      <c r="D264" t="s">
        <v>62</v>
      </c>
      <c r="E264" t="s">
        <v>28</v>
      </c>
      <c r="F264">
        <v>4</v>
      </c>
      <c r="G264">
        <v>250</v>
      </c>
      <c r="H264">
        <v>1000</v>
      </c>
      <c r="I264">
        <v>110</v>
      </c>
      <c r="J264">
        <v>440</v>
      </c>
      <c r="K264">
        <v>560</v>
      </c>
      <c r="L264" t="s">
        <v>29</v>
      </c>
      <c r="M264" t="s">
        <v>63</v>
      </c>
      <c r="N264" t="s">
        <v>46</v>
      </c>
      <c r="O264">
        <v>33.9</v>
      </c>
      <c r="P264">
        <v>16.2</v>
      </c>
      <c r="Q264">
        <v>13.71</v>
      </c>
      <c r="R264">
        <v>13.89</v>
      </c>
      <c r="S264">
        <v>3.23</v>
      </c>
      <c r="T264">
        <v>11.2</v>
      </c>
      <c r="U264">
        <v>7.59</v>
      </c>
      <c r="V264">
        <v>1.84</v>
      </c>
      <c r="W264">
        <v>458.44</v>
      </c>
      <c r="X264" t="s">
        <v>32</v>
      </c>
      <c r="Y264" t="s">
        <v>40</v>
      </c>
    </row>
    <row r="265" spans="1:25" x14ac:dyDescent="0.3">
      <c r="A265">
        <v>264</v>
      </c>
      <c r="B265" t="s">
        <v>383</v>
      </c>
      <c r="C265" t="s">
        <v>384</v>
      </c>
      <c r="D265" t="s">
        <v>43</v>
      </c>
      <c r="E265" t="s">
        <v>43</v>
      </c>
      <c r="F265">
        <v>1</v>
      </c>
      <c r="G265">
        <v>80</v>
      </c>
      <c r="H265">
        <v>80</v>
      </c>
      <c r="I265">
        <v>30</v>
      </c>
      <c r="J265">
        <v>30</v>
      </c>
      <c r="K265">
        <v>50</v>
      </c>
      <c r="L265" t="s">
        <v>86</v>
      </c>
      <c r="M265" t="s">
        <v>56</v>
      </c>
      <c r="N265" t="s">
        <v>51</v>
      </c>
      <c r="O265">
        <v>31.27</v>
      </c>
      <c r="P265">
        <v>32.159999999999997</v>
      </c>
      <c r="Q265">
        <v>11.22</v>
      </c>
      <c r="R265">
        <v>13.14</v>
      </c>
      <c r="S265">
        <v>1.99</v>
      </c>
      <c r="T265">
        <v>6.37</v>
      </c>
      <c r="U265">
        <v>5.86</v>
      </c>
      <c r="V265">
        <v>1.72</v>
      </c>
      <c r="W265">
        <v>-53.73</v>
      </c>
      <c r="X265" t="s">
        <v>57</v>
      </c>
      <c r="Y265" t="s">
        <v>33</v>
      </c>
    </row>
    <row r="266" spans="1:25" x14ac:dyDescent="0.3">
      <c r="A266">
        <v>265</v>
      </c>
      <c r="B266" t="s">
        <v>121</v>
      </c>
      <c r="C266" t="s">
        <v>234</v>
      </c>
      <c r="D266" t="s">
        <v>54</v>
      </c>
      <c r="E266" t="s">
        <v>28</v>
      </c>
      <c r="F266">
        <v>1</v>
      </c>
      <c r="G266">
        <v>120</v>
      </c>
      <c r="H266">
        <v>120</v>
      </c>
      <c r="I266">
        <v>50</v>
      </c>
      <c r="J266">
        <v>50</v>
      </c>
      <c r="K266">
        <v>70</v>
      </c>
      <c r="L266" t="s">
        <v>55</v>
      </c>
      <c r="M266" t="s">
        <v>63</v>
      </c>
      <c r="N266" t="s">
        <v>51</v>
      </c>
      <c r="O266">
        <v>25.4</v>
      </c>
      <c r="P266">
        <v>45.83</v>
      </c>
      <c r="Q266">
        <v>19.48</v>
      </c>
      <c r="R266">
        <v>14.53</v>
      </c>
      <c r="S266">
        <v>2.67</v>
      </c>
      <c r="T266">
        <v>9.9600000000000009</v>
      </c>
      <c r="U266">
        <v>1.74</v>
      </c>
      <c r="V266">
        <v>1.95</v>
      </c>
      <c r="W266">
        <v>-51.56</v>
      </c>
      <c r="X266" t="s">
        <v>57</v>
      </c>
      <c r="Y266" t="s">
        <v>40</v>
      </c>
    </row>
    <row r="267" spans="1:25" x14ac:dyDescent="0.3">
      <c r="A267">
        <v>266</v>
      </c>
      <c r="B267" t="s">
        <v>238</v>
      </c>
      <c r="C267" t="s">
        <v>353</v>
      </c>
      <c r="D267" t="s">
        <v>89</v>
      </c>
      <c r="E267" t="s">
        <v>28</v>
      </c>
      <c r="F267">
        <v>1</v>
      </c>
      <c r="G267">
        <v>180</v>
      </c>
      <c r="H267">
        <v>180</v>
      </c>
      <c r="I267">
        <v>75</v>
      </c>
      <c r="J267">
        <v>75</v>
      </c>
      <c r="K267">
        <v>105</v>
      </c>
      <c r="L267" t="s">
        <v>29</v>
      </c>
      <c r="M267" t="s">
        <v>63</v>
      </c>
      <c r="N267" t="s">
        <v>51</v>
      </c>
      <c r="O267">
        <v>14.87</v>
      </c>
      <c r="P267">
        <v>49.43</v>
      </c>
      <c r="Q267">
        <v>15.73</v>
      </c>
      <c r="R267">
        <v>2.5499999999999998</v>
      </c>
      <c r="S267">
        <v>1.59</v>
      </c>
      <c r="T267">
        <v>2.16</v>
      </c>
      <c r="U267">
        <v>6.12</v>
      </c>
      <c r="V267">
        <v>0.65</v>
      </c>
      <c r="W267">
        <v>11.9</v>
      </c>
      <c r="X267" t="s">
        <v>66</v>
      </c>
      <c r="Y267" t="s">
        <v>33</v>
      </c>
    </row>
    <row r="268" spans="1:25" x14ac:dyDescent="0.3">
      <c r="A268">
        <v>267</v>
      </c>
      <c r="B268" t="s">
        <v>201</v>
      </c>
      <c r="C268" t="s">
        <v>385</v>
      </c>
      <c r="D268" t="s">
        <v>54</v>
      </c>
      <c r="E268" t="s">
        <v>28</v>
      </c>
      <c r="F268">
        <v>1</v>
      </c>
      <c r="G268">
        <v>120</v>
      </c>
      <c r="H268">
        <v>120</v>
      </c>
      <c r="I268">
        <v>50</v>
      </c>
      <c r="J268">
        <v>50</v>
      </c>
      <c r="K268">
        <v>70</v>
      </c>
      <c r="L268" t="s">
        <v>29</v>
      </c>
      <c r="M268" t="s">
        <v>30</v>
      </c>
      <c r="N268" t="s">
        <v>39</v>
      </c>
      <c r="O268">
        <v>28.08</v>
      </c>
      <c r="P268">
        <v>54.47</v>
      </c>
      <c r="Q268">
        <v>16.670000000000002</v>
      </c>
      <c r="R268">
        <v>11.74</v>
      </c>
      <c r="S268">
        <v>1.27</v>
      </c>
      <c r="T268">
        <v>11.33</v>
      </c>
      <c r="U268">
        <v>5.23</v>
      </c>
      <c r="V268">
        <v>0.37</v>
      </c>
      <c r="W268">
        <v>-59.16</v>
      </c>
      <c r="X268" t="s">
        <v>32</v>
      </c>
      <c r="Y268" t="s">
        <v>33</v>
      </c>
    </row>
    <row r="269" spans="1:25" x14ac:dyDescent="0.3">
      <c r="A269">
        <v>268</v>
      </c>
      <c r="B269" t="s">
        <v>249</v>
      </c>
      <c r="C269" t="s">
        <v>164</v>
      </c>
      <c r="D269" t="s">
        <v>89</v>
      </c>
      <c r="E269" t="s">
        <v>28</v>
      </c>
      <c r="F269">
        <v>1</v>
      </c>
      <c r="G269">
        <v>180</v>
      </c>
      <c r="H269">
        <v>180</v>
      </c>
      <c r="I269">
        <v>75</v>
      </c>
      <c r="J269">
        <v>75</v>
      </c>
      <c r="K269">
        <v>105</v>
      </c>
      <c r="L269" t="s">
        <v>86</v>
      </c>
      <c r="M269" t="s">
        <v>63</v>
      </c>
      <c r="N269" t="s">
        <v>51</v>
      </c>
      <c r="O269">
        <v>38.79</v>
      </c>
      <c r="P269">
        <v>53.84</v>
      </c>
      <c r="Q269">
        <v>10.37</v>
      </c>
      <c r="R269">
        <v>5.12</v>
      </c>
      <c r="S269">
        <v>0.51</v>
      </c>
      <c r="T269">
        <v>7.13</v>
      </c>
      <c r="U269">
        <v>6.11</v>
      </c>
      <c r="V269">
        <v>1.97</v>
      </c>
      <c r="W269">
        <v>-18.84</v>
      </c>
      <c r="X269" t="s">
        <v>66</v>
      </c>
      <c r="Y269" t="s">
        <v>33</v>
      </c>
    </row>
    <row r="270" spans="1:25" x14ac:dyDescent="0.3">
      <c r="A270">
        <v>269</v>
      </c>
      <c r="B270" t="s">
        <v>233</v>
      </c>
      <c r="C270" t="s">
        <v>370</v>
      </c>
      <c r="D270" t="s">
        <v>54</v>
      </c>
      <c r="E270" t="s">
        <v>28</v>
      </c>
      <c r="F270">
        <v>2</v>
      </c>
      <c r="G270">
        <v>120</v>
      </c>
      <c r="H270">
        <v>240</v>
      </c>
      <c r="I270">
        <v>50</v>
      </c>
      <c r="J270">
        <v>100</v>
      </c>
      <c r="K270">
        <v>140</v>
      </c>
      <c r="L270" t="s">
        <v>44</v>
      </c>
      <c r="M270" t="s">
        <v>63</v>
      </c>
      <c r="N270" t="s">
        <v>81</v>
      </c>
      <c r="O270">
        <v>22.7</v>
      </c>
      <c r="P270">
        <v>17.55</v>
      </c>
      <c r="Q270">
        <v>18.079999999999998</v>
      </c>
      <c r="R270">
        <v>10.130000000000001</v>
      </c>
      <c r="S270">
        <v>3.13</v>
      </c>
      <c r="T270">
        <v>10.45</v>
      </c>
      <c r="U270">
        <v>6.14</v>
      </c>
      <c r="V270">
        <v>2.44</v>
      </c>
      <c r="W270">
        <v>49.38</v>
      </c>
      <c r="X270" t="s">
        <v>57</v>
      </c>
      <c r="Y270" t="s">
        <v>33</v>
      </c>
    </row>
    <row r="271" spans="1:25" x14ac:dyDescent="0.3">
      <c r="A271">
        <v>270</v>
      </c>
      <c r="B271" t="s">
        <v>253</v>
      </c>
      <c r="C271" t="s">
        <v>146</v>
      </c>
      <c r="D271" t="s">
        <v>49</v>
      </c>
      <c r="E271" t="s">
        <v>50</v>
      </c>
      <c r="F271">
        <v>1</v>
      </c>
      <c r="G271">
        <v>180</v>
      </c>
      <c r="H271">
        <v>180</v>
      </c>
      <c r="I271">
        <v>90</v>
      </c>
      <c r="J271">
        <v>90</v>
      </c>
      <c r="K271">
        <v>90</v>
      </c>
      <c r="L271" t="s">
        <v>29</v>
      </c>
      <c r="M271" t="s">
        <v>30</v>
      </c>
      <c r="N271" t="s">
        <v>90</v>
      </c>
      <c r="O271">
        <v>34.72</v>
      </c>
      <c r="P271">
        <v>36.56</v>
      </c>
      <c r="Q271">
        <v>11.67</v>
      </c>
      <c r="R271">
        <v>7.51</v>
      </c>
      <c r="S271">
        <v>2.11</v>
      </c>
      <c r="T271">
        <v>11.04</v>
      </c>
      <c r="U271">
        <v>4.2699999999999996</v>
      </c>
      <c r="V271">
        <v>2.11</v>
      </c>
      <c r="W271">
        <v>-19.989999999999998</v>
      </c>
      <c r="X271" t="s">
        <v>57</v>
      </c>
      <c r="Y271" t="s">
        <v>33</v>
      </c>
    </row>
    <row r="272" spans="1:25" x14ac:dyDescent="0.3">
      <c r="A272">
        <v>271</v>
      </c>
      <c r="B272" t="s">
        <v>285</v>
      </c>
      <c r="C272" t="s">
        <v>133</v>
      </c>
      <c r="D272" t="s">
        <v>54</v>
      </c>
      <c r="E272" t="s">
        <v>28</v>
      </c>
      <c r="F272">
        <v>3</v>
      </c>
      <c r="G272">
        <v>120</v>
      </c>
      <c r="H272">
        <v>360</v>
      </c>
      <c r="I272">
        <v>50</v>
      </c>
      <c r="J272">
        <v>150</v>
      </c>
      <c r="K272">
        <v>210</v>
      </c>
      <c r="L272" t="s">
        <v>37</v>
      </c>
      <c r="M272" t="s">
        <v>38</v>
      </c>
      <c r="N272" t="s">
        <v>51</v>
      </c>
      <c r="O272">
        <v>35.49</v>
      </c>
      <c r="P272">
        <v>53.8</v>
      </c>
      <c r="Q272">
        <v>8.9</v>
      </c>
      <c r="R272">
        <v>31.81</v>
      </c>
      <c r="S272">
        <v>4.05</v>
      </c>
      <c r="T272">
        <v>10.050000000000001</v>
      </c>
      <c r="U272">
        <v>2.91</v>
      </c>
      <c r="V272">
        <v>1.43</v>
      </c>
      <c r="W272">
        <v>61.56</v>
      </c>
      <c r="X272" t="s">
        <v>57</v>
      </c>
      <c r="Y272" t="s">
        <v>40</v>
      </c>
    </row>
    <row r="273" spans="1:25" x14ac:dyDescent="0.3">
      <c r="A273">
        <v>272</v>
      </c>
      <c r="B273" t="s">
        <v>159</v>
      </c>
      <c r="C273" t="s">
        <v>131</v>
      </c>
      <c r="D273" t="s">
        <v>62</v>
      </c>
      <c r="E273" t="s">
        <v>28</v>
      </c>
      <c r="F273">
        <v>1</v>
      </c>
      <c r="G273">
        <v>250</v>
      </c>
      <c r="H273">
        <v>250</v>
      </c>
      <c r="I273">
        <v>110</v>
      </c>
      <c r="J273">
        <v>110</v>
      </c>
      <c r="K273">
        <v>140</v>
      </c>
      <c r="L273" t="s">
        <v>29</v>
      </c>
      <c r="M273" t="s">
        <v>38</v>
      </c>
      <c r="N273" t="s">
        <v>46</v>
      </c>
      <c r="O273">
        <v>17.73</v>
      </c>
      <c r="P273">
        <v>36.03</v>
      </c>
      <c r="Q273">
        <v>15.21</v>
      </c>
      <c r="R273">
        <v>18.350000000000001</v>
      </c>
      <c r="S273">
        <v>2.5</v>
      </c>
      <c r="T273">
        <v>2.48</v>
      </c>
      <c r="U273">
        <v>1.66</v>
      </c>
      <c r="V273">
        <v>0.06</v>
      </c>
      <c r="W273">
        <v>45.98</v>
      </c>
      <c r="X273" t="s">
        <v>66</v>
      </c>
      <c r="Y273" t="s">
        <v>40</v>
      </c>
    </row>
    <row r="274" spans="1:25" x14ac:dyDescent="0.3">
      <c r="A274">
        <v>273</v>
      </c>
      <c r="B274" t="s">
        <v>386</v>
      </c>
      <c r="C274" t="s">
        <v>387</v>
      </c>
      <c r="D274" t="s">
        <v>27</v>
      </c>
      <c r="E274" t="s">
        <v>28</v>
      </c>
      <c r="F274">
        <v>4</v>
      </c>
      <c r="G274">
        <v>200</v>
      </c>
      <c r="H274">
        <v>800</v>
      </c>
      <c r="I274">
        <v>90</v>
      </c>
      <c r="J274">
        <v>360</v>
      </c>
      <c r="K274">
        <v>440</v>
      </c>
      <c r="L274" t="s">
        <v>86</v>
      </c>
      <c r="M274" t="s">
        <v>38</v>
      </c>
      <c r="N274" t="s">
        <v>90</v>
      </c>
      <c r="O274">
        <v>19.34</v>
      </c>
      <c r="P274">
        <v>56.5</v>
      </c>
      <c r="Q274">
        <v>16.93</v>
      </c>
      <c r="R274">
        <v>17.54</v>
      </c>
      <c r="S274">
        <v>4.76</v>
      </c>
      <c r="T274">
        <v>2.75</v>
      </c>
      <c r="U274">
        <v>2.0499999999999998</v>
      </c>
      <c r="V274">
        <v>0.77</v>
      </c>
      <c r="W274">
        <v>319.36</v>
      </c>
      <c r="X274" t="s">
        <v>66</v>
      </c>
      <c r="Y274" t="s">
        <v>40</v>
      </c>
    </row>
    <row r="275" spans="1:25" x14ac:dyDescent="0.3">
      <c r="A275">
        <v>274</v>
      </c>
      <c r="B275" t="s">
        <v>328</v>
      </c>
      <c r="C275" t="s">
        <v>80</v>
      </c>
      <c r="D275" t="s">
        <v>89</v>
      </c>
      <c r="E275" t="s">
        <v>28</v>
      </c>
      <c r="F275">
        <v>3</v>
      </c>
      <c r="G275">
        <v>180</v>
      </c>
      <c r="H275">
        <v>540</v>
      </c>
      <c r="I275">
        <v>75</v>
      </c>
      <c r="J275">
        <v>225</v>
      </c>
      <c r="K275">
        <v>315</v>
      </c>
      <c r="L275" t="s">
        <v>44</v>
      </c>
      <c r="M275" t="s">
        <v>45</v>
      </c>
      <c r="N275" t="s">
        <v>39</v>
      </c>
      <c r="O275">
        <v>11.08</v>
      </c>
      <c r="P275">
        <v>15.6</v>
      </c>
      <c r="Q275">
        <v>5.68</v>
      </c>
      <c r="R275">
        <v>21.01</v>
      </c>
      <c r="S275">
        <v>4.87</v>
      </c>
      <c r="T275">
        <v>5.77</v>
      </c>
      <c r="U275">
        <v>2.09</v>
      </c>
      <c r="V275">
        <v>1.33</v>
      </c>
      <c r="W275">
        <v>247.57</v>
      </c>
      <c r="X275" t="s">
        <v>32</v>
      </c>
      <c r="Y275" t="s">
        <v>33</v>
      </c>
    </row>
    <row r="276" spans="1:25" x14ac:dyDescent="0.3">
      <c r="A276">
        <v>275</v>
      </c>
      <c r="B276" t="s">
        <v>388</v>
      </c>
      <c r="C276" t="s">
        <v>102</v>
      </c>
      <c r="D276" t="s">
        <v>43</v>
      </c>
      <c r="E276" t="s">
        <v>43</v>
      </c>
      <c r="F276">
        <v>2</v>
      </c>
      <c r="G276">
        <v>80</v>
      </c>
      <c r="H276">
        <v>160</v>
      </c>
      <c r="I276">
        <v>30</v>
      </c>
      <c r="J276">
        <v>60</v>
      </c>
      <c r="K276">
        <v>100</v>
      </c>
      <c r="L276" t="s">
        <v>44</v>
      </c>
      <c r="M276" t="s">
        <v>38</v>
      </c>
      <c r="N276" t="s">
        <v>81</v>
      </c>
      <c r="O276">
        <v>36.51</v>
      </c>
      <c r="P276">
        <v>23.71</v>
      </c>
      <c r="Q276">
        <v>15.93</v>
      </c>
      <c r="R276">
        <v>11.19</v>
      </c>
      <c r="S276">
        <v>1.32</v>
      </c>
      <c r="T276">
        <v>7.59</v>
      </c>
      <c r="U276">
        <v>7.7</v>
      </c>
      <c r="V276">
        <v>1.02</v>
      </c>
      <c r="W276">
        <v>-4.97</v>
      </c>
      <c r="X276" t="s">
        <v>66</v>
      </c>
      <c r="Y276" t="s">
        <v>33</v>
      </c>
    </row>
    <row r="277" spans="1:25" x14ac:dyDescent="0.3">
      <c r="A277">
        <v>276</v>
      </c>
      <c r="B277" t="s">
        <v>79</v>
      </c>
      <c r="C277" t="s">
        <v>389</v>
      </c>
      <c r="D277" t="s">
        <v>43</v>
      </c>
      <c r="E277" t="s">
        <v>43</v>
      </c>
      <c r="F277">
        <v>1</v>
      </c>
      <c r="G277">
        <v>80</v>
      </c>
      <c r="H277">
        <v>80</v>
      </c>
      <c r="I277">
        <v>30</v>
      </c>
      <c r="J277">
        <v>30</v>
      </c>
      <c r="K277">
        <v>50</v>
      </c>
      <c r="L277" t="s">
        <v>44</v>
      </c>
      <c r="M277" t="s">
        <v>63</v>
      </c>
      <c r="N277" t="s">
        <v>39</v>
      </c>
      <c r="O277">
        <v>23.9</v>
      </c>
      <c r="P277">
        <v>30.81</v>
      </c>
      <c r="Q277">
        <v>13.77</v>
      </c>
      <c r="R277">
        <v>27.07</v>
      </c>
      <c r="S277">
        <v>4.96</v>
      </c>
      <c r="T277">
        <v>5.04</v>
      </c>
      <c r="U277">
        <v>1.07</v>
      </c>
      <c r="V277">
        <v>2.5499999999999998</v>
      </c>
      <c r="W277">
        <v>-59.17</v>
      </c>
      <c r="X277" t="s">
        <v>32</v>
      </c>
      <c r="Y277" t="s">
        <v>40</v>
      </c>
    </row>
    <row r="278" spans="1:25" x14ac:dyDescent="0.3">
      <c r="A278">
        <v>277</v>
      </c>
      <c r="B278" t="s">
        <v>182</v>
      </c>
      <c r="C278" t="s">
        <v>250</v>
      </c>
      <c r="D278" t="s">
        <v>89</v>
      </c>
      <c r="E278" t="s">
        <v>28</v>
      </c>
      <c r="F278">
        <v>1</v>
      </c>
      <c r="G278">
        <v>180</v>
      </c>
      <c r="H278">
        <v>180</v>
      </c>
      <c r="I278">
        <v>75</v>
      </c>
      <c r="J278">
        <v>75</v>
      </c>
      <c r="K278">
        <v>105</v>
      </c>
      <c r="L278" t="s">
        <v>55</v>
      </c>
      <c r="M278" t="s">
        <v>63</v>
      </c>
      <c r="N278" t="s">
        <v>46</v>
      </c>
      <c r="O278">
        <v>33.86</v>
      </c>
      <c r="P278">
        <v>40.380000000000003</v>
      </c>
      <c r="Q278">
        <v>15.79</v>
      </c>
      <c r="R278">
        <v>17.43</v>
      </c>
      <c r="S278">
        <v>3.34</v>
      </c>
      <c r="T278">
        <v>14.82</v>
      </c>
      <c r="U278">
        <v>3.37</v>
      </c>
      <c r="V278">
        <v>2.9</v>
      </c>
      <c r="W278">
        <v>-26.89</v>
      </c>
      <c r="X278" t="s">
        <v>32</v>
      </c>
      <c r="Y278" t="s">
        <v>40</v>
      </c>
    </row>
    <row r="279" spans="1:25" x14ac:dyDescent="0.3">
      <c r="A279">
        <v>278</v>
      </c>
      <c r="B279" t="s">
        <v>128</v>
      </c>
      <c r="C279" t="s">
        <v>390</v>
      </c>
      <c r="D279" t="s">
        <v>27</v>
      </c>
      <c r="E279" t="s">
        <v>28</v>
      </c>
      <c r="F279">
        <v>1</v>
      </c>
      <c r="G279">
        <v>200</v>
      </c>
      <c r="H279">
        <v>200</v>
      </c>
      <c r="I279">
        <v>90</v>
      </c>
      <c r="J279">
        <v>90</v>
      </c>
      <c r="K279">
        <v>110</v>
      </c>
      <c r="L279" t="s">
        <v>37</v>
      </c>
      <c r="M279" t="s">
        <v>30</v>
      </c>
      <c r="N279" t="s">
        <v>90</v>
      </c>
      <c r="O279">
        <v>35.49</v>
      </c>
      <c r="P279">
        <v>24.99</v>
      </c>
      <c r="Q279">
        <v>5.05</v>
      </c>
      <c r="R279">
        <v>11.36</v>
      </c>
      <c r="S279">
        <v>2.71</v>
      </c>
      <c r="T279">
        <v>6.1</v>
      </c>
      <c r="U279">
        <v>5.63</v>
      </c>
      <c r="V279">
        <v>0.54</v>
      </c>
      <c r="W279">
        <v>18.13</v>
      </c>
      <c r="X279" t="s">
        <v>32</v>
      </c>
      <c r="Y279" t="s">
        <v>33</v>
      </c>
    </row>
    <row r="280" spans="1:25" x14ac:dyDescent="0.3">
      <c r="A280">
        <v>279</v>
      </c>
      <c r="B280" t="s">
        <v>314</v>
      </c>
      <c r="C280" t="s">
        <v>305</v>
      </c>
      <c r="D280" t="s">
        <v>54</v>
      </c>
      <c r="E280" t="s">
        <v>28</v>
      </c>
      <c r="F280">
        <v>1</v>
      </c>
      <c r="G280">
        <v>120</v>
      </c>
      <c r="H280">
        <v>120</v>
      </c>
      <c r="I280">
        <v>50</v>
      </c>
      <c r="J280">
        <v>50</v>
      </c>
      <c r="K280">
        <v>70</v>
      </c>
      <c r="L280" t="s">
        <v>29</v>
      </c>
      <c r="M280" t="s">
        <v>45</v>
      </c>
      <c r="N280" t="s">
        <v>90</v>
      </c>
      <c r="O280">
        <v>14.06</v>
      </c>
      <c r="P280">
        <v>25.07</v>
      </c>
      <c r="Q280">
        <v>18.53</v>
      </c>
      <c r="R280">
        <v>25.2</v>
      </c>
      <c r="S280">
        <v>4.71</v>
      </c>
      <c r="T280">
        <v>13.97</v>
      </c>
      <c r="U280">
        <v>3.35</v>
      </c>
      <c r="V280">
        <v>1.1599999999999999</v>
      </c>
      <c r="W280">
        <v>-36.049999999999997</v>
      </c>
      <c r="X280" t="s">
        <v>57</v>
      </c>
      <c r="Y280" t="s">
        <v>33</v>
      </c>
    </row>
    <row r="281" spans="1:25" x14ac:dyDescent="0.3">
      <c r="A281">
        <v>280</v>
      </c>
      <c r="B281" t="s">
        <v>229</v>
      </c>
      <c r="C281" t="s">
        <v>324</v>
      </c>
      <c r="D281" t="s">
        <v>43</v>
      </c>
      <c r="E281" t="s">
        <v>43</v>
      </c>
      <c r="F281">
        <v>4</v>
      </c>
      <c r="G281">
        <v>80</v>
      </c>
      <c r="H281">
        <v>320</v>
      </c>
      <c r="I281">
        <v>30</v>
      </c>
      <c r="J281">
        <v>120</v>
      </c>
      <c r="K281">
        <v>200</v>
      </c>
      <c r="L281" t="s">
        <v>44</v>
      </c>
      <c r="M281" t="s">
        <v>38</v>
      </c>
      <c r="N281" t="s">
        <v>46</v>
      </c>
      <c r="O281">
        <v>26.77</v>
      </c>
      <c r="P281">
        <v>29.63</v>
      </c>
      <c r="Q281">
        <v>14.56</v>
      </c>
      <c r="R281">
        <v>28.45</v>
      </c>
      <c r="S281">
        <v>4.3</v>
      </c>
      <c r="T281">
        <v>8.11</v>
      </c>
      <c r="U281">
        <v>6.21</v>
      </c>
      <c r="V281">
        <v>2.6</v>
      </c>
      <c r="W281">
        <v>79.37</v>
      </c>
      <c r="X281" t="s">
        <v>66</v>
      </c>
      <c r="Y281" t="s">
        <v>40</v>
      </c>
    </row>
    <row r="282" spans="1:25" x14ac:dyDescent="0.3">
      <c r="A282">
        <v>281</v>
      </c>
      <c r="B282" t="s">
        <v>330</v>
      </c>
      <c r="C282" t="s">
        <v>275</v>
      </c>
      <c r="D282" t="s">
        <v>27</v>
      </c>
      <c r="E282" t="s">
        <v>28</v>
      </c>
      <c r="F282">
        <v>2</v>
      </c>
      <c r="G282">
        <v>200</v>
      </c>
      <c r="H282">
        <v>400</v>
      </c>
      <c r="I282">
        <v>90</v>
      </c>
      <c r="J282">
        <v>180</v>
      </c>
      <c r="K282">
        <v>220</v>
      </c>
      <c r="L282" t="s">
        <v>29</v>
      </c>
      <c r="M282" t="s">
        <v>30</v>
      </c>
      <c r="N282" t="s">
        <v>81</v>
      </c>
      <c r="O282">
        <v>38.119999999999997</v>
      </c>
      <c r="P282">
        <v>45.23</v>
      </c>
      <c r="Q282">
        <v>5.17</v>
      </c>
      <c r="R282">
        <v>33</v>
      </c>
      <c r="S282">
        <v>3.36</v>
      </c>
      <c r="T282">
        <v>2.6</v>
      </c>
      <c r="U282">
        <v>7.3</v>
      </c>
      <c r="V282">
        <v>0.19</v>
      </c>
      <c r="W282">
        <v>85.03</v>
      </c>
      <c r="X282" t="s">
        <v>66</v>
      </c>
      <c r="Y282" t="s">
        <v>33</v>
      </c>
    </row>
    <row r="283" spans="1:25" x14ac:dyDescent="0.3">
      <c r="A283">
        <v>282</v>
      </c>
      <c r="B283" t="s">
        <v>75</v>
      </c>
      <c r="C283" t="s">
        <v>391</v>
      </c>
      <c r="D283" t="s">
        <v>109</v>
      </c>
      <c r="E283" t="s">
        <v>50</v>
      </c>
      <c r="F283">
        <v>3</v>
      </c>
      <c r="G283">
        <v>150</v>
      </c>
      <c r="H283">
        <v>450</v>
      </c>
      <c r="I283">
        <v>70</v>
      </c>
      <c r="J283">
        <v>210</v>
      </c>
      <c r="K283">
        <v>240</v>
      </c>
      <c r="L283" t="s">
        <v>55</v>
      </c>
      <c r="M283" t="s">
        <v>45</v>
      </c>
      <c r="N283" t="s">
        <v>39</v>
      </c>
      <c r="O283">
        <v>19.12</v>
      </c>
      <c r="P283">
        <v>53.07</v>
      </c>
      <c r="Q283">
        <v>14.8</v>
      </c>
      <c r="R283">
        <v>31.95</v>
      </c>
      <c r="S283">
        <v>3.65</v>
      </c>
      <c r="T283">
        <v>9.41</v>
      </c>
      <c r="U283">
        <v>6.92</v>
      </c>
      <c r="V283">
        <v>1.42</v>
      </c>
      <c r="W283">
        <v>99.66</v>
      </c>
      <c r="X283" t="s">
        <v>57</v>
      </c>
      <c r="Y283" t="s">
        <v>33</v>
      </c>
    </row>
    <row r="284" spans="1:25" x14ac:dyDescent="0.3">
      <c r="A284">
        <v>283</v>
      </c>
      <c r="B284" t="s">
        <v>295</v>
      </c>
      <c r="C284" t="s">
        <v>275</v>
      </c>
      <c r="D284" t="s">
        <v>54</v>
      </c>
      <c r="E284" t="s">
        <v>28</v>
      </c>
      <c r="F284">
        <v>1</v>
      </c>
      <c r="G284">
        <v>120</v>
      </c>
      <c r="H284">
        <v>120</v>
      </c>
      <c r="I284">
        <v>50</v>
      </c>
      <c r="J284">
        <v>50</v>
      </c>
      <c r="K284">
        <v>70</v>
      </c>
      <c r="L284" t="s">
        <v>44</v>
      </c>
      <c r="M284" t="s">
        <v>56</v>
      </c>
      <c r="N284" t="s">
        <v>39</v>
      </c>
      <c r="O284">
        <v>13.03</v>
      </c>
      <c r="P284">
        <v>58.8</v>
      </c>
      <c r="Q284">
        <v>19.22</v>
      </c>
      <c r="R284">
        <v>18.34</v>
      </c>
      <c r="S284">
        <v>0.34</v>
      </c>
      <c r="T284">
        <v>14.96</v>
      </c>
      <c r="U284">
        <v>2.71</v>
      </c>
      <c r="V284">
        <v>0.03</v>
      </c>
      <c r="W284">
        <v>-57.43</v>
      </c>
      <c r="X284" t="s">
        <v>66</v>
      </c>
      <c r="Y284" t="s">
        <v>33</v>
      </c>
    </row>
    <row r="285" spans="1:25" x14ac:dyDescent="0.3">
      <c r="A285">
        <v>284</v>
      </c>
      <c r="B285" t="s">
        <v>84</v>
      </c>
      <c r="C285" t="s">
        <v>80</v>
      </c>
      <c r="D285" t="s">
        <v>43</v>
      </c>
      <c r="E285" t="s">
        <v>43</v>
      </c>
      <c r="F285">
        <v>1</v>
      </c>
      <c r="G285">
        <v>80</v>
      </c>
      <c r="H285">
        <v>80</v>
      </c>
      <c r="I285">
        <v>30</v>
      </c>
      <c r="J285">
        <v>30</v>
      </c>
      <c r="K285">
        <v>50</v>
      </c>
      <c r="L285" t="s">
        <v>44</v>
      </c>
      <c r="M285" t="s">
        <v>56</v>
      </c>
      <c r="N285" t="s">
        <v>90</v>
      </c>
      <c r="O285">
        <v>31.33</v>
      </c>
      <c r="P285">
        <v>26.33</v>
      </c>
      <c r="Q285">
        <v>17.809999999999999</v>
      </c>
      <c r="R285">
        <v>32.54</v>
      </c>
      <c r="S285">
        <v>3.47</v>
      </c>
      <c r="T285">
        <v>3.25</v>
      </c>
      <c r="U285">
        <v>4.5599999999999996</v>
      </c>
      <c r="V285">
        <v>1.0900000000000001</v>
      </c>
      <c r="W285">
        <v>-70.38</v>
      </c>
      <c r="X285" t="s">
        <v>66</v>
      </c>
      <c r="Y285" t="s">
        <v>40</v>
      </c>
    </row>
    <row r="286" spans="1:25" x14ac:dyDescent="0.3">
      <c r="A286">
        <v>285</v>
      </c>
      <c r="B286" t="s">
        <v>161</v>
      </c>
      <c r="C286" t="s">
        <v>392</v>
      </c>
      <c r="D286" t="s">
        <v>49</v>
      </c>
      <c r="E286" t="s">
        <v>50</v>
      </c>
      <c r="F286">
        <v>4</v>
      </c>
      <c r="G286">
        <v>180</v>
      </c>
      <c r="H286">
        <v>720</v>
      </c>
      <c r="I286">
        <v>90</v>
      </c>
      <c r="J286">
        <v>360</v>
      </c>
      <c r="K286">
        <v>360</v>
      </c>
      <c r="L286" t="s">
        <v>37</v>
      </c>
      <c r="M286" t="s">
        <v>45</v>
      </c>
      <c r="N286" t="s">
        <v>90</v>
      </c>
      <c r="O286">
        <v>18.5</v>
      </c>
      <c r="P286">
        <v>15.55</v>
      </c>
      <c r="Q286">
        <v>8.5299999999999994</v>
      </c>
      <c r="R286">
        <v>22.81</v>
      </c>
      <c r="S286">
        <v>2.82</v>
      </c>
      <c r="T286">
        <v>3.15</v>
      </c>
      <c r="U286">
        <v>7.32</v>
      </c>
      <c r="V286">
        <v>2.95</v>
      </c>
      <c r="W286">
        <v>278.37</v>
      </c>
      <c r="X286" t="s">
        <v>66</v>
      </c>
      <c r="Y286" t="s">
        <v>33</v>
      </c>
    </row>
    <row r="287" spans="1:25" x14ac:dyDescent="0.3">
      <c r="A287">
        <v>286</v>
      </c>
      <c r="B287" t="s">
        <v>174</v>
      </c>
      <c r="C287" t="s">
        <v>393</v>
      </c>
      <c r="D287" t="s">
        <v>43</v>
      </c>
      <c r="E287" t="s">
        <v>43</v>
      </c>
      <c r="F287">
        <v>3</v>
      </c>
      <c r="G287">
        <v>80</v>
      </c>
      <c r="H287">
        <v>240</v>
      </c>
      <c r="I287">
        <v>30</v>
      </c>
      <c r="J287">
        <v>90</v>
      </c>
      <c r="K287">
        <v>150</v>
      </c>
      <c r="L287" t="s">
        <v>86</v>
      </c>
      <c r="M287" t="s">
        <v>63</v>
      </c>
      <c r="N287" t="s">
        <v>31</v>
      </c>
      <c r="O287">
        <v>38.159999999999997</v>
      </c>
      <c r="P287">
        <v>45.98</v>
      </c>
      <c r="Q287">
        <v>19.02</v>
      </c>
      <c r="R287">
        <v>16.75</v>
      </c>
      <c r="S287">
        <v>4.53</v>
      </c>
      <c r="T287">
        <v>11.92</v>
      </c>
      <c r="U287">
        <v>5.21</v>
      </c>
      <c r="V287">
        <v>0.82</v>
      </c>
      <c r="W287">
        <v>7.61</v>
      </c>
      <c r="X287" t="s">
        <v>66</v>
      </c>
      <c r="Y287" t="s">
        <v>33</v>
      </c>
    </row>
    <row r="288" spans="1:25" x14ac:dyDescent="0.3">
      <c r="A288">
        <v>287</v>
      </c>
      <c r="B288" t="s">
        <v>394</v>
      </c>
      <c r="C288" t="s">
        <v>395</v>
      </c>
      <c r="D288" t="s">
        <v>89</v>
      </c>
      <c r="E288" t="s">
        <v>28</v>
      </c>
      <c r="F288">
        <v>1</v>
      </c>
      <c r="G288">
        <v>180</v>
      </c>
      <c r="H288">
        <v>180</v>
      </c>
      <c r="I288">
        <v>75</v>
      </c>
      <c r="J288">
        <v>75</v>
      </c>
      <c r="K288">
        <v>105</v>
      </c>
      <c r="L288" t="s">
        <v>37</v>
      </c>
      <c r="M288" t="s">
        <v>56</v>
      </c>
      <c r="N288" t="s">
        <v>31</v>
      </c>
      <c r="O288">
        <v>28.05</v>
      </c>
      <c r="P288">
        <v>42.84</v>
      </c>
      <c r="Q288">
        <v>19.36</v>
      </c>
      <c r="R288">
        <v>24.18</v>
      </c>
      <c r="S288">
        <v>3.47</v>
      </c>
      <c r="T288">
        <v>12.81</v>
      </c>
      <c r="U288">
        <v>1.37</v>
      </c>
      <c r="V288">
        <v>2.06</v>
      </c>
      <c r="W288">
        <v>-29.14</v>
      </c>
      <c r="X288" t="s">
        <v>66</v>
      </c>
      <c r="Y288" t="s">
        <v>33</v>
      </c>
    </row>
    <row r="289" spans="1:25" x14ac:dyDescent="0.3">
      <c r="A289">
        <v>288</v>
      </c>
      <c r="B289" t="s">
        <v>147</v>
      </c>
      <c r="C289" t="s">
        <v>241</v>
      </c>
      <c r="D289" t="s">
        <v>36</v>
      </c>
      <c r="E289" t="s">
        <v>28</v>
      </c>
      <c r="F289">
        <v>1</v>
      </c>
      <c r="G289">
        <v>220</v>
      </c>
      <c r="H289">
        <v>220</v>
      </c>
      <c r="I289">
        <v>100</v>
      </c>
      <c r="J289">
        <v>100</v>
      </c>
      <c r="K289">
        <v>120</v>
      </c>
      <c r="L289" t="s">
        <v>44</v>
      </c>
      <c r="M289" t="s">
        <v>38</v>
      </c>
      <c r="N289" t="s">
        <v>39</v>
      </c>
      <c r="O289">
        <v>26.5</v>
      </c>
      <c r="P289">
        <v>45.69</v>
      </c>
      <c r="Q289">
        <v>11.51</v>
      </c>
      <c r="R289">
        <v>13.66</v>
      </c>
      <c r="S289">
        <v>0.95</v>
      </c>
      <c r="T289">
        <v>8.09</v>
      </c>
      <c r="U289">
        <v>3.69</v>
      </c>
      <c r="V289">
        <v>0.24</v>
      </c>
      <c r="W289">
        <v>9.67</v>
      </c>
      <c r="X289" t="s">
        <v>66</v>
      </c>
      <c r="Y289" t="s">
        <v>40</v>
      </c>
    </row>
    <row r="290" spans="1:25" x14ac:dyDescent="0.3">
      <c r="A290">
        <v>289</v>
      </c>
      <c r="B290" t="s">
        <v>396</v>
      </c>
      <c r="C290" t="s">
        <v>144</v>
      </c>
      <c r="D290" t="s">
        <v>89</v>
      </c>
      <c r="E290" t="s">
        <v>28</v>
      </c>
      <c r="F290">
        <v>2</v>
      </c>
      <c r="G290">
        <v>180</v>
      </c>
      <c r="H290">
        <v>360</v>
      </c>
      <c r="I290">
        <v>75</v>
      </c>
      <c r="J290">
        <v>150</v>
      </c>
      <c r="K290">
        <v>210</v>
      </c>
      <c r="L290" t="s">
        <v>37</v>
      </c>
      <c r="M290" t="s">
        <v>56</v>
      </c>
      <c r="N290" t="s">
        <v>39</v>
      </c>
      <c r="O290">
        <v>30.27</v>
      </c>
      <c r="P290">
        <v>51.7</v>
      </c>
      <c r="Q290">
        <v>19.29</v>
      </c>
      <c r="R290">
        <v>21.94</v>
      </c>
      <c r="S290">
        <v>0.4</v>
      </c>
      <c r="T290">
        <v>13.23</v>
      </c>
      <c r="U290">
        <v>5.66</v>
      </c>
      <c r="V290">
        <v>1.49</v>
      </c>
      <c r="W290">
        <v>66.02</v>
      </c>
      <c r="X290" t="s">
        <v>32</v>
      </c>
      <c r="Y290" t="s">
        <v>40</v>
      </c>
    </row>
    <row r="291" spans="1:25" x14ac:dyDescent="0.3">
      <c r="A291">
        <v>290</v>
      </c>
      <c r="B291" t="s">
        <v>295</v>
      </c>
      <c r="C291" t="s">
        <v>296</v>
      </c>
      <c r="D291" t="s">
        <v>43</v>
      </c>
      <c r="E291" t="s">
        <v>43</v>
      </c>
      <c r="F291">
        <v>1</v>
      </c>
      <c r="G291">
        <v>80</v>
      </c>
      <c r="H291">
        <v>80</v>
      </c>
      <c r="I291">
        <v>30</v>
      </c>
      <c r="J291">
        <v>30</v>
      </c>
      <c r="K291">
        <v>50</v>
      </c>
      <c r="L291" t="s">
        <v>29</v>
      </c>
      <c r="M291" t="s">
        <v>30</v>
      </c>
      <c r="N291" t="s">
        <v>81</v>
      </c>
      <c r="O291">
        <v>22.02</v>
      </c>
      <c r="P291">
        <v>23.07</v>
      </c>
      <c r="Q291">
        <v>13.65</v>
      </c>
      <c r="R291">
        <v>28.85</v>
      </c>
      <c r="S291">
        <v>4.13</v>
      </c>
      <c r="T291">
        <v>10.97</v>
      </c>
      <c r="U291">
        <v>7.14</v>
      </c>
      <c r="V291">
        <v>2.37</v>
      </c>
      <c r="W291">
        <v>-62.2</v>
      </c>
      <c r="X291" t="s">
        <v>32</v>
      </c>
      <c r="Y291" t="s">
        <v>33</v>
      </c>
    </row>
    <row r="292" spans="1:25" x14ac:dyDescent="0.3">
      <c r="A292">
        <v>291</v>
      </c>
      <c r="B292" t="s">
        <v>71</v>
      </c>
      <c r="C292" t="s">
        <v>397</v>
      </c>
      <c r="D292" t="s">
        <v>27</v>
      </c>
      <c r="E292" t="s">
        <v>28</v>
      </c>
      <c r="F292">
        <v>4</v>
      </c>
      <c r="G292">
        <v>200</v>
      </c>
      <c r="H292">
        <v>800</v>
      </c>
      <c r="I292">
        <v>90</v>
      </c>
      <c r="J292">
        <v>360</v>
      </c>
      <c r="K292">
        <v>440</v>
      </c>
      <c r="L292" t="s">
        <v>55</v>
      </c>
      <c r="M292" t="s">
        <v>45</v>
      </c>
      <c r="N292" t="s">
        <v>81</v>
      </c>
      <c r="O292">
        <v>16.899999999999999</v>
      </c>
      <c r="P292">
        <v>29.14</v>
      </c>
      <c r="Q292">
        <v>17.8</v>
      </c>
      <c r="R292">
        <v>10.43</v>
      </c>
      <c r="S292">
        <v>2.99</v>
      </c>
      <c r="T292">
        <v>3.42</v>
      </c>
      <c r="U292">
        <v>4.24</v>
      </c>
      <c r="V292">
        <v>1.2</v>
      </c>
      <c r="W292">
        <v>353.88</v>
      </c>
      <c r="X292" t="s">
        <v>57</v>
      </c>
      <c r="Y292" t="s">
        <v>40</v>
      </c>
    </row>
    <row r="293" spans="1:25" x14ac:dyDescent="0.3">
      <c r="A293">
        <v>292</v>
      </c>
      <c r="B293" t="s">
        <v>398</v>
      </c>
      <c r="C293" t="s">
        <v>399</v>
      </c>
      <c r="D293" t="s">
        <v>109</v>
      </c>
      <c r="E293" t="s">
        <v>50</v>
      </c>
      <c r="F293">
        <v>4</v>
      </c>
      <c r="G293">
        <v>150</v>
      </c>
      <c r="H293">
        <v>600</v>
      </c>
      <c r="I293">
        <v>70</v>
      </c>
      <c r="J293">
        <v>280</v>
      </c>
      <c r="K293">
        <v>320</v>
      </c>
      <c r="L293" t="s">
        <v>44</v>
      </c>
      <c r="M293" t="s">
        <v>38</v>
      </c>
      <c r="N293" t="s">
        <v>46</v>
      </c>
      <c r="O293">
        <v>13.85</v>
      </c>
      <c r="P293">
        <v>22.39</v>
      </c>
      <c r="Q293">
        <v>8.7200000000000006</v>
      </c>
      <c r="R293">
        <v>25.26</v>
      </c>
      <c r="S293">
        <v>2.9</v>
      </c>
      <c r="T293">
        <v>2.78</v>
      </c>
      <c r="U293">
        <v>2.2799999999999998</v>
      </c>
      <c r="V293">
        <v>2.48</v>
      </c>
      <c r="W293">
        <v>239.34</v>
      </c>
      <c r="X293" t="s">
        <v>32</v>
      </c>
      <c r="Y293" t="s">
        <v>33</v>
      </c>
    </row>
    <row r="294" spans="1:25" x14ac:dyDescent="0.3">
      <c r="A294">
        <v>293</v>
      </c>
      <c r="B294" t="s">
        <v>166</v>
      </c>
      <c r="C294" t="s">
        <v>393</v>
      </c>
      <c r="D294" t="s">
        <v>43</v>
      </c>
      <c r="E294" t="s">
        <v>43</v>
      </c>
      <c r="F294">
        <v>4</v>
      </c>
      <c r="G294">
        <v>80</v>
      </c>
      <c r="H294">
        <v>320</v>
      </c>
      <c r="I294">
        <v>30</v>
      </c>
      <c r="J294">
        <v>120</v>
      </c>
      <c r="K294">
        <v>200</v>
      </c>
      <c r="L294" t="s">
        <v>44</v>
      </c>
      <c r="M294" t="s">
        <v>56</v>
      </c>
      <c r="N294" t="s">
        <v>51</v>
      </c>
      <c r="O294">
        <v>12.5</v>
      </c>
      <c r="P294">
        <v>55.17</v>
      </c>
      <c r="Q294">
        <v>10.37</v>
      </c>
      <c r="R294">
        <v>11.63</v>
      </c>
      <c r="S294">
        <v>2.64</v>
      </c>
      <c r="T294">
        <v>9.51</v>
      </c>
      <c r="U294">
        <v>4.16</v>
      </c>
      <c r="V294">
        <v>0.1</v>
      </c>
      <c r="W294">
        <v>93.92</v>
      </c>
      <c r="X294" t="s">
        <v>66</v>
      </c>
      <c r="Y294" t="s">
        <v>40</v>
      </c>
    </row>
    <row r="295" spans="1:25" x14ac:dyDescent="0.3">
      <c r="A295">
        <v>294</v>
      </c>
      <c r="B295" t="s">
        <v>47</v>
      </c>
      <c r="C295" t="s">
        <v>332</v>
      </c>
      <c r="D295" t="s">
        <v>49</v>
      </c>
      <c r="E295" t="s">
        <v>50</v>
      </c>
      <c r="F295">
        <v>1</v>
      </c>
      <c r="G295">
        <v>180</v>
      </c>
      <c r="H295">
        <v>180</v>
      </c>
      <c r="I295">
        <v>90</v>
      </c>
      <c r="J295">
        <v>90</v>
      </c>
      <c r="K295">
        <v>90</v>
      </c>
      <c r="L295" t="s">
        <v>86</v>
      </c>
      <c r="M295" t="s">
        <v>38</v>
      </c>
      <c r="N295" t="s">
        <v>31</v>
      </c>
      <c r="O295">
        <v>11.79</v>
      </c>
      <c r="P295">
        <v>30.34</v>
      </c>
      <c r="Q295">
        <v>9.6199999999999992</v>
      </c>
      <c r="R295">
        <v>7.78</v>
      </c>
      <c r="S295">
        <v>2.06</v>
      </c>
      <c r="T295">
        <v>3.16</v>
      </c>
      <c r="U295">
        <v>4.01</v>
      </c>
      <c r="V295">
        <v>1.1499999999999999</v>
      </c>
      <c r="W295">
        <v>20.09</v>
      </c>
      <c r="X295" t="s">
        <v>66</v>
      </c>
      <c r="Y295" t="s">
        <v>33</v>
      </c>
    </row>
    <row r="296" spans="1:25" x14ac:dyDescent="0.3">
      <c r="A296">
        <v>295</v>
      </c>
      <c r="B296" t="s">
        <v>219</v>
      </c>
      <c r="C296" t="s">
        <v>389</v>
      </c>
      <c r="D296" t="s">
        <v>36</v>
      </c>
      <c r="E296" t="s">
        <v>28</v>
      </c>
      <c r="F296">
        <v>4</v>
      </c>
      <c r="G296">
        <v>220</v>
      </c>
      <c r="H296">
        <v>880</v>
      </c>
      <c r="I296">
        <v>100</v>
      </c>
      <c r="J296">
        <v>400</v>
      </c>
      <c r="K296">
        <v>480</v>
      </c>
      <c r="L296" t="s">
        <v>37</v>
      </c>
      <c r="M296" t="s">
        <v>45</v>
      </c>
      <c r="N296" t="s">
        <v>81</v>
      </c>
      <c r="O296">
        <v>30.43</v>
      </c>
      <c r="P296">
        <v>37.28</v>
      </c>
      <c r="Q296">
        <v>14.98</v>
      </c>
      <c r="R296">
        <v>10.69</v>
      </c>
      <c r="S296">
        <v>0.94</v>
      </c>
      <c r="T296">
        <v>2.19</v>
      </c>
      <c r="U296">
        <v>5.16</v>
      </c>
      <c r="V296">
        <v>0.24</v>
      </c>
      <c r="W296">
        <v>378.09</v>
      </c>
      <c r="X296" t="s">
        <v>32</v>
      </c>
      <c r="Y296" t="s">
        <v>40</v>
      </c>
    </row>
    <row r="297" spans="1:25" x14ac:dyDescent="0.3">
      <c r="A297">
        <v>296</v>
      </c>
      <c r="B297" t="s">
        <v>219</v>
      </c>
      <c r="C297" t="s">
        <v>158</v>
      </c>
      <c r="D297" t="s">
        <v>43</v>
      </c>
      <c r="E297" t="s">
        <v>43</v>
      </c>
      <c r="F297">
        <v>4</v>
      </c>
      <c r="G297">
        <v>80</v>
      </c>
      <c r="H297">
        <v>320</v>
      </c>
      <c r="I297">
        <v>30</v>
      </c>
      <c r="J297">
        <v>120</v>
      </c>
      <c r="K297">
        <v>200</v>
      </c>
      <c r="L297" t="s">
        <v>55</v>
      </c>
      <c r="M297" t="s">
        <v>56</v>
      </c>
      <c r="N297" t="s">
        <v>31</v>
      </c>
      <c r="O297">
        <v>17.36</v>
      </c>
      <c r="P297">
        <v>59.14</v>
      </c>
      <c r="Q297">
        <v>15.32</v>
      </c>
      <c r="R297">
        <v>2.39</v>
      </c>
      <c r="S297">
        <v>3.63</v>
      </c>
      <c r="T297">
        <v>9.43</v>
      </c>
      <c r="U297">
        <v>4.55</v>
      </c>
      <c r="V297">
        <v>0.23</v>
      </c>
      <c r="W297">
        <v>87.95</v>
      </c>
      <c r="X297" t="s">
        <v>32</v>
      </c>
      <c r="Y297" t="s">
        <v>33</v>
      </c>
    </row>
    <row r="298" spans="1:25" x14ac:dyDescent="0.3">
      <c r="A298">
        <v>297</v>
      </c>
      <c r="B298" t="s">
        <v>193</v>
      </c>
      <c r="C298" t="s">
        <v>400</v>
      </c>
      <c r="D298" t="s">
        <v>27</v>
      </c>
      <c r="E298" t="s">
        <v>28</v>
      </c>
      <c r="F298">
        <v>4</v>
      </c>
      <c r="G298">
        <v>200</v>
      </c>
      <c r="H298">
        <v>800</v>
      </c>
      <c r="I298">
        <v>90</v>
      </c>
      <c r="J298">
        <v>360</v>
      </c>
      <c r="K298">
        <v>440</v>
      </c>
      <c r="L298" t="s">
        <v>29</v>
      </c>
      <c r="M298" t="s">
        <v>45</v>
      </c>
      <c r="N298" t="s">
        <v>31</v>
      </c>
      <c r="O298">
        <v>24.28</v>
      </c>
      <c r="P298">
        <v>44.37</v>
      </c>
      <c r="Q298">
        <v>7.33</v>
      </c>
      <c r="R298">
        <v>8.2200000000000006</v>
      </c>
      <c r="S298">
        <v>2.16</v>
      </c>
      <c r="T298">
        <v>2.1</v>
      </c>
      <c r="U298">
        <v>6.96</v>
      </c>
      <c r="V298">
        <v>2.34</v>
      </c>
      <c r="W298">
        <v>342.24</v>
      </c>
      <c r="X298" t="s">
        <v>66</v>
      </c>
      <c r="Y298" t="s">
        <v>33</v>
      </c>
    </row>
    <row r="299" spans="1:25" x14ac:dyDescent="0.3">
      <c r="A299">
        <v>298</v>
      </c>
      <c r="B299" t="s">
        <v>401</v>
      </c>
      <c r="C299" t="s">
        <v>254</v>
      </c>
      <c r="D299" t="s">
        <v>43</v>
      </c>
      <c r="E299" t="s">
        <v>43</v>
      </c>
      <c r="F299">
        <v>2</v>
      </c>
      <c r="G299">
        <v>80</v>
      </c>
      <c r="H299">
        <v>160</v>
      </c>
      <c r="I299">
        <v>30</v>
      </c>
      <c r="J299">
        <v>60</v>
      </c>
      <c r="K299">
        <v>100</v>
      </c>
      <c r="L299" t="s">
        <v>29</v>
      </c>
      <c r="M299" t="s">
        <v>30</v>
      </c>
      <c r="N299" t="s">
        <v>90</v>
      </c>
      <c r="O299">
        <v>25.32</v>
      </c>
      <c r="P299">
        <v>42.06</v>
      </c>
      <c r="Q299">
        <v>19.600000000000001</v>
      </c>
      <c r="R299">
        <v>30.63</v>
      </c>
      <c r="S299">
        <v>1.53</v>
      </c>
      <c r="T299">
        <v>5</v>
      </c>
      <c r="U299">
        <v>6.06</v>
      </c>
      <c r="V299">
        <v>2.72</v>
      </c>
      <c r="W299">
        <v>-32.92</v>
      </c>
      <c r="X299" t="s">
        <v>57</v>
      </c>
      <c r="Y299" t="s">
        <v>40</v>
      </c>
    </row>
    <row r="300" spans="1:25" x14ac:dyDescent="0.3">
      <c r="A300">
        <v>299</v>
      </c>
      <c r="B300" t="s">
        <v>157</v>
      </c>
      <c r="C300" t="s">
        <v>402</v>
      </c>
      <c r="D300" t="s">
        <v>54</v>
      </c>
      <c r="E300" t="s">
        <v>28</v>
      </c>
      <c r="F300">
        <v>1</v>
      </c>
      <c r="G300">
        <v>120</v>
      </c>
      <c r="H300">
        <v>120</v>
      </c>
      <c r="I300">
        <v>50</v>
      </c>
      <c r="J300">
        <v>50</v>
      </c>
      <c r="K300">
        <v>70</v>
      </c>
      <c r="L300" t="s">
        <v>29</v>
      </c>
      <c r="M300" t="s">
        <v>30</v>
      </c>
      <c r="N300" t="s">
        <v>51</v>
      </c>
      <c r="O300">
        <v>37.36</v>
      </c>
      <c r="P300">
        <v>37.92</v>
      </c>
      <c r="Q300">
        <v>11.93</v>
      </c>
      <c r="R300">
        <v>6.07</v>
      </c>
      <c r="S300">
        <v>3.58</v>
      </c>
      <c r="T300">
        <v>3.87</v>
      </c>
      <c r="U300">
        <v>3.13</v>
      </c>
      <c r="V300">
        <v>0.25</v>
      </c>
      <c r="W300">
        <v>-34.11</v>
      </c>
      <c r="X300" t="s">
        <v>57</v>
      </c>
      <c r="Y300" t="s">
        <v>33</v>
      </c>
    </row>
    <row r="301" spans="1:25" x14ac:dyDescent="0.3">
      <c r="A301">
        <v>300</v>
      </c>
      <c r="B301" t="s">
        <v>240</v>
      </c>
      <c r="C301" t="s">
        <v>403</v>
      </c>
      <c r="D301" t="s">
        <v>36</v>
      </c>
      <c r="E301" t="s">
        <v>28</v>
      </c>
      <c r="F301">
        <v>4</v>
      </c>
      <c r="G301">
        <v>220</v>
      </c>
      <c r="H301">
        <v>880</v>
      </c>
      <c r="I301">
        <v>100</v>
      </c>
      <c r="J301">
        <v>400</v>
      </c>
      <c r="K301">
        <v>480</v>
      </c>
      <c r="L301" t="s">
        <v>86</v>
      </c>
      <c r="M301" t="s">
        <v>30</v>
      </c>
      <c r="N301" t="s">
        <v>39</v>
      </c>
      <c r="O301">
        <v>34.14</v>
      </c>
      <c r="P301">
        <v>26.95</v>
      </c>
      <c r="Q301">
        <v>18.11</v>
      </c>
      <c r="R301">
        <v>29.74</v>
      </c>
      <c r="S301">
        <v>0.8</v>
      </c>
      <c r="T301">
        <v>14.38</v>
      </c>
      <c r="U301">
        <v>3.01</v>
      </c>
      <c r="V301">
        <v>2.11</v>
      </c>
      <c r="W301">
        <v>350.76</v>
      </c>
      <c r="X301" t="s">
        <v>32</v>
      </c>
      <c r="Y301" t="s">
        <v>33</v>
      </c>
    </row>
    <row r="302" spans="1:25" x14ac:dyDescent="0.3">
      <c r="A302">
        <v>301</v>
      </c>
      <c r="B302" t="s">
        <v>404</v>
      </c>
      <c r="C302" t="s">
        <v>98</v>
      </c>
      <c r="D302" t="s">
        <v>109</v>
      </c>
      <c r="E302" t="s">
        <v>50</v>
      </c>
      <c r="F302">
        <v>2</v>
      </c>
      <c r="G302">
        <v>150</v>
      </c>
      <c r="H302">
        <v>300</v>
      </c>
      <c r="I302">
        <v>70</v>
      </c>
      <c r="J302">
        <v>140</v>
      </c>
      <c r="K302">
        <v>160</v>
      </c>
      <c r="L302" t="s">
        <v>55</v>
      </c>
      <c r="M302" t="s">
        <v>63</v>
      </c>
      <c r="N302" t="s">
        <v>81</v>
      </c>
      <c r="O302">
        <v>28.97</v>
      </c>
      <c r="P302">
        <v>27.97</v>
      </c>
      <c r="Q302">
        <v>19.71</v>
      </c>
      <c r="R302">
        <v>5.01</v>
      </c>
      <c r="S302">
        <v>4.78</v>
      </c>
      <c r="T302">
        <v>2.1800000000000002</v>
      </c>
      <c r="U302">
        <v>1.34</v>
      </c>
      <c r="V302">
        <v>2.2599999999999998</v>
      </c>
      <c r="W302">
        <v>67.78</v>
      </c>
      <c r="X302" t="s">
        <v>57</v>
      </c>
      <c r="Y302" t="s">
        <v>40</v>
      </c>
    </row>
    <row r="303" spans="1:25" x14ac:dyDescent="0.3">
      <c r="A303">
        <v>302</v>
      </c>
      <c r="B303" t="s">
        <v>107</v>
      </c>
      <c r="C303" t="s">
        <v>405</v>
      </c>
      <c r="D303" t="s">
        <v>36</v>
      </c>
      <c r="E303" t="s">
        <v>28</v>
      </c>
      <c r="F303">
        <v>2</v>
      </c>
      <c r="G303">
        <v>220</v>
      </c>
      <c r="H303">
        <v>440</v>
      </c>
      <c r="I303">
        <v>100</v>
      </c>
      <c r="J303">
        <v>200</v>
      </c>
      <c r="K303">
        <v>240</v>
      </c>
      <c r="L303" t="s">
        <v>37</v>
      </c>
      <c r="M303" t="s">
        <v>30</v>
      </c>
      <c r="N303" t="s">
        <v>46</v>
      </c>
      <c r="O303">
        <v>15.19</v>
      </c>
      <c r="P303">
        <v>28.73</v>
      </c>
      <c r="Q303">
        <v>8.5</v>
      </c>
      <c r="R303">
        <v>34.549999999999997</v>
      </c>
      <c r="S303">
        <v>0.6</v>
      </c>
      <c r="T303">
        <v>4.0599999999999996</v>
      </c>
      <c r="U303">
        <v>1.72</v>
      </c>
      <c r="V303">
        <v>2.36</v>
      </c>
      <c r="W303">
        <v>144.29</v>
      </c>
      <c r="X303" t="s">
        <v>57</v>
      </c>
      <c r="Y303" t="s">
        <v>33</v>
      </c>
    </row>
    <row r="304" spans="1:25" x14ac:dyDescent="0.3">
      <c r="A304">
        <v>303</v>
      </c>
      <c r="B304" t="s">
        <v>110</v>
      </c>
      <c r="C304" t="s">
        <v>406</v>
      </c>
      <c r="D304" t="s">
        <v>89</v>
      </c>
      <c r="E304" t="s">
        <v>28</v>
      </c>
      <c r="F304">
        <v>1</v>
      </c>
      <c r="G304">
        <v>180</v>
      </c>
      <c r="H304">
        <v>180</v>
      </c>
      <c r="I304">
        <v>75</v>
      </c>
      <c r="J304">
        <v>75</v>
      </c>
      <c r="K304">
        <v>105</v>
      </c>
      <c r="L304" t="s">
        <v>55</v>
      </c>
      <c r="M304" t="s">
        <v>30</v>
      </c>
      <c r="N304" t="s">
        <v>39</v>
      </c>
      <c r="O304">
        <v>38.25</v>
      </c>
      <c r="P304">
        <v>42.14</v>
      </c>
      <c r="Q304">
        <v>14.94</v>
      </c>
      <c r="R304">
        <v>1.27</v>
      </c>
      <c r="S304">
        <v>1.23</v>
      </c>
      <c r="T304">
        <v>5.63</v>
      </c>
      <c r="U304">
        <v>3.16</v>
      </c>
      <c r="V304">
        <v>0.9</v>
      </c>
      <c r="W304">
        <v>-2.52</v>
      </c>
      <c r="X304" t="s">
        <v>32</v>
      </c>
      <c r="Y304" t="s">
        <v>40</v>
      </c>
    </row>
    <row r="305" spans="1:25" x14ac:dyDescent="0.3">
      <c r="A305">
        <v>304</v>
      </c>
      <c r="B305" t="s">
        <v>87</v>
      </c>
      <c r="C305" t="s">
        <v>267</v>
      </c>
      <c r="D305" t="s">
        <v>36</v>
      </c>
      <c r="E305" t="s">
        <v>28</v>
      </c>
      <c r="F305">
        <v>1</v>
      </c>
      <c r="G305">
        <v>220</v>
      </c>
      <c r="H305">
        <v>220</v>
      </c>
      <c r="I305">
        <v>100</v>
      </c>
      <c r="J305">
        <v>100</v>
      </c>
      <c r="K305">
        <v>120</v>
      </c>
      <c r="L305" t="s">
        <v>55</v>
      </c>
      <c r="M305" t="s">
        <v>30</v>
      </c>
      <c r="N305" t="s">
        <v>39</v>
      </c>
      <c r="O305">
        <v>34.64</v>
      </c>
      <c r="P305">
        <v>37.94</v>
      </c>
      <c r="Q305">
        <v>12.16</v>
      </c>
      <c r="R305">
        <v>5</v>
      </c>
      <c r="S305">
        <v>0</v>
      </c>
      <c r="T305">
        <v>12.87</v>
      </c>
      <c r="U305">
        <v>1.1599999999999999</v>
      </c>
      <c r="V305">
        <v>2.16</v>
      </c>
      <c r="W305">
        <v>14.07</v>
      </c>
      <c r="X305" t="s">
        <v>32</v>
      </c>
      <c r="Y305" t="s">
        <v>33</v>
      </c>
    </row>
    <row r="306" spans="1:25" x14ac:dyDescent="0.3">
      <c r="A306">
        <v>305</v>
      </c>
      <c r="B306" t="s">
        <v>193</v>
      </c>
      <c r="C306" t="s">
        <v>360</v>
      </c>
      <c r="D306" t="s">
        <v>43</v>
      </c>
      <c r="E306" t="s">
        <v>43</v>
      </c>
      <c r="F306">
        <v>1</v>
      </c>
      <c r="G306">
        <v>80</v>
      </c>
      <c r="H306">
        <v>80</v>
      </c>
      <c r="I306">
        <v>30</v>
      </c>
      <c r="J306">
        <v>30</v>
      </c>
      <c r="K306">
        <v>50</v>
      </c>
      <c r="L306" t="s">
        <v>37</v>
      </c>
      <c r="M306" t="s">
        <v>56</v>
      </c>
      <c r="N306" t="s">
        <v>81</v>
      </c>
      <c r="O306">
        <v>23.5</v>
      </c>
      <c r="P306">
        <v>51.81</v>
      </c>
      <c r="Q306">
        <v>15.05</v>
      </c>
      <c r="R306">
        <v>11.8</v>
      </c>
      <c r="S306">
        <v>4</v>
      </c>
      <c r="T306">
        <v>2.48</v>
      </c>
      <c r="U306">
        <v>7.25</v>
      </c>
      <c r="V306">
        <v>0.26</v>
      </c>
      <c r="W306">
        <v>-66.150000000000006</v>
      </c>
      <c r="X306" t="s">
        <v>66</v>
      </c>
      <c r="Y306" t="s">
        <v>33</v>
      </c>
    </row>
    <row r="307" spans="1:25" x14ac:dyDescent="0.3">
      <c r="A307">
        <v>306</v>
      </c>
      <c r="B307" t="s">
        <v>145</v>
      </c>
      <c r="C307" t="s">
        <v>239</v>
      </c>
      <c r="D307" t="s">
        <v>43</v>
      </c>
      <c r="E307" t="s">
        <v>43</v>
      </c>
      <c r="F307">
        <v>1</v>
      </c>
      <c r="G307">
        <v>80</v>
      </c>
      <c r="H307">
        <v>80</v>
      </c>
      <c r="I307">
        <v>30</v>
      </c>
      <c r="J307">
        <v>30</v>
      </c>
      <c r="K307">
        <v>50</v>
      </c>
      <c r="L307" t="s">
        <v>44</v>
      </c>
      <c r="M307" t="s">
        <v>38</v>
      </c>
      <c r="N307" t="s">
        <v>90</v>
      </c>
      <c r="O307">
        <v>37.53</v>
      </c>
      <c r="P307">
        <v>28.04</v>
      </c>
      <c r="Q307">
        <v>7.09</v>
      </c>
      <c r="R307">
        <v>20.71</v>
      </c>
      <c r="S307">
        <v>0.61</v>
      </c>
      <c r="T307">
        <v>6.57</v>
      </c>
      <c r="U307">
        <v>3.87</v>
      </c>
      <c r="V307">
        <v>1.5</v>
      </c>
      <c r="W307">
        <v>-55.92</v>
      </c>
      <c r="X307" t="s">
        <v>32</v>
      </c>
      <c r="Y307" t="s">
        <v>40</v>
      </c>
    </row>
    <row r="308" spans="1:25" x14ac:dyDescent="0.3">
      <c r="A308">
        <v>307</v>
      </c>
      <c r="B308" t="s">
        <v>253</v>
      </c>
      <c r="C308" t="s">
        <v>407</v>
      </c>
      <c r="D308" t="s">
        <v>54</v>
      </c>
      <c r="E308" t="s">
        <v>28</v>
      </c>
      <c r="F308">
        <v>4</v>
      </c>
      <c r="G308">
        <v>120</v>
      </c>
      <c r="H308">
        <v>480</v>
      </c>
      <c r="I308">
        <v>50</v>
      </c>
      <c r="J308">
        <v>200</v>
      </c>
      <c r="K308">
        <v>280</v>
      </c>
      <c r="L308" t="s">
        <v>44</v>
      </c>
      <c r="M308" t="s">
        <v>38</v>
      </c>
      <c r="N308" t="s">
        <v>51</v>
      </c>
      <c r="O308">
        <v>31.71</v>
      </c>
      <c r="P308">
        <v>24.36</v>
      </c>
      <c r="Q308">
        <v>9.5399999999999991</v>
      </c>
      <c r="R308">
        <v>6.35</v>
      </c>
      <c r="S308">
        <v>1.49</v>
      </c>
      <c r="T308">
        <v>4.01</v>
      </c>
      <c r="U308">
        <v>3.62</v>
      </c>
      <c r="V308">
        <v>1.54</v>
      </c>
      <c r="W308">
        <v>197.38</v>
      </c>
      <c r="X308" t="s">
        <v>32</v>
      </c>
      <c r="Y308" t="s">
        <v>40</v>
      </c>
    </row>
    <row r="309" spans="1:25" x14ac:dyDescent="0.3">
      <c r="A309">
        <v>308</v>
      </c>
      <c r="B309" t="s">
        <v>113</v>
      </c>
      <c r="C309" t="s">
        <v>408</v>
      </c>
      <c r="D309" t="s">
        <v>89</v>
      </c>
      <c r="E309" t="s">
        <v>28</v>
      </c>
      <c r="F309">
        <v>2</v>
      </c>
      <c r="G309">
        <v>180</v>
      </c>
      <c r="H309">
        <v>360</v>
      </c>
      <c r="I309">
        <v>75</v>
      </c>
      <c r="J309">
        <v>150</v>
      </c>
      <c r="K309">
        <v>210</v>
      </c>
      <c r="L309" t="s">
        <v>29</v>
      </c>
      <c r="M309" t="s">
        <v>45</v>
      </c>
      <c r="N309" t="s">
        <v>81</v>
      </c>
      <c r="O309">
        <v>13.12</v>
      </c>
      <c r="P309">
        <v>17.670000000000002</v>
      </c>
      <c r="Q309">
        <v>14.49</v>
      </c>
      <c r="R309">
        <v>5.51</v>
      </c>
      <c r="S309">
        <v>0.8</v>
      </c>
      <c r="T309">
        <v>10.15</v>
      </c>
      <c r="U309">
        <v>3.91</v>
      </c>
      <c r="V309">
        <v>2.63</v>
      </c>
      <c r="W309">
        <v>141.72</v>
      </c>
      <c r="X309" t="s">
        <v>57</v>
      </c>
      <c r="Y309" t="s">
        <v>33</v>
      </c>
    </row>
    <row r="310" spans="1:25" x14ac:dyDescent="0.3">
      <c r="A310">
        <v>309</v>
      </c>
      <c r="B310" t="s">
        <v>105</v>
      </c>
      <c r="C310" t="s">
        <v>409</v>
      </c>
      <c r="D310" t="s">
        <v>54</v>
      </c>
      <c r="E310" t="s">
        <v>28</v>
      </c>
      <c r="F310">
        <v>3</v>
      </c>
      <c r="G310">
        <v>120</v>
      </c>
      <c r="H310">
        <v>360</v>
      </c>
      <c r="I310">
        <v>50</v>
      </c>
      <c r="J310">
        <v>150</v>
      </c>
      <c r="K310">
        <v>210</v>
      </c>
      <c r="L310" t="s">
        <v>29</v>
      </c>
      <c r="M310" t="s">
        <v>63</v>
      </c>
      <c r="N310" t="s">
        <v>90</v>
      </c>
      <c r="O310">
        <v>20.92</v>
      </c>
      <c r="P310">
        <v>52.15</v>
      </c>
      <c r="Q310">
        <v>17.22</v>
      </c>
      <c r="R310">
        <v>34.94</v>
      </c>
      <c r="S310">
        <v>3.9</v>
      </c>
      <c r="T310">
        <v>4.41</v>
      </c>
      <c r="U310">
        <v>6.33</v>
      </c>
      <c r="V310">
        <v>0.67</v>
      </c>
      <c r="W310">
        <v>69.459999999999994</v>
      </c>
      <c r="X310" t="s">
        <v>32</v>
      </c>
      <c r="Y310" t="s">
        <v>40</v>
      </c>
    </row>
    <row r="311" spans="1:25" x14ac:dyDescent="0.3">
      <c r="A311">
        <v>310</v>
      </c>
      <c r="B311" t="s">
        <v>233</v>
      </c>
      <c r="C311" t="s">
        <v>374</v>
      </c>
      <c r="D311" t="s">
        <v>27</v>
      </c>
      <c r="E311" t="s">
        <v>28</v>
      </c>
      <c r="F311">
        <v>3</v>
      </c>
      <c r="G311">
        <v>200</v>
      </c>
      <c r="H311">
        <v>600</v>
      </c>
      <c r="I311">
        <v>90</v>
      </c>
      <c r="J311">
        <v>270</v>
      </c>
      <c r="K311">
        <v>330</v>
      </c>
      <c r="L311" t="s">
        <v>29</v>
      </c>
      <c r="M311" t="s">
        <v>38</v>
      </c>
      <c r="N311" t="s">
        <v>90</v>
      </c>
      <c r="O311">
        <v>34.43</v>
      </c>
      <c r="P311">
        <v>30.07</v>
      </c>
      <c r="Q311">
        <v>15.34</v>
      </c>
      <c r="R311">
        <v>32.26</v>
      </c>
      <c r="S311">
        <v>1.64</v>
      </c>
      <c r="T311">
        <v>8.82</v>
      </c>
      <c r="U311">
        <v>3.05</v>
      </c>
      <c r="V311">
        <v>0.83</v>
      </c>
      <c r="W311">
        <v>203.56</v>
      </c>
      <c r="X311" t="s">
        <v>66</v>
      </c>
      <c r="Y311" t="s">
        <v>40</v>
      </c>
    </row>
    <row r="312" spans="1:25" x14ac:dyDescent="0.3">
      <c r="A312">
        <v>311</v>
      </c>
      <c r="B312" t="s">
        <v>245</v>
      </c>
      <c r="C312" t="s">
        <v>265</v>
      </c>
      <c r="D312" t="s">
        <v>89</v>
      </c>
      <c r="E312" t="s">
        <v>28</v>
      </c>
      <c r="F312">
        <v>1</v>
      </c>
      <c r="G312">
        <v>180</v>
      </c>
      <c r="H312">
        <v>180</v>
      </c>
      <c r="I312">
        <v>75</v>
      </c>
      <c r="J312">
        <v>75</v>
      </c>
      <c r="K312">
        <v>105</v>
      </c>
      <c r="L312" t="s">
        <v>29</v>
      </c>
      <c r="M312" t="s">
        <v>30</v>
      </c>
      <c r="N312" t="s">
        <v>46</v>
      </c>
      <c r="O312">
        <v>11.24</v>
      </c>
      <c r="P312">
        <v>59.45</v>
      </c>
      <c r="Q312">
        <v>19.2</v>
      </c>
      <c r="R312">
        <v>12.48</v>
      </c>
      <c r="S312">
        <v>0.84</v>
      </c>
      <c r="T312">
        <v>2.96</v>
      </c>
      <c r="U312">
        <v>6.17</v>
      </c>
      <c r="V312">
        <v>2.37</v>
      </c>
      <c r="W312">
        <v>-9.7100000000000009</v>
      </c>
      <c r="X312" t="s">
        <v>32</v>
      </c>
      <c r="Y312" t="s">
        <v>33</v>
      </c>
    </row>
    <row r="313" spans="1:25" x14ac:dyDescent="0.3">
      <c r="A313">
        <v>312</v>
      </c>
      <c r="B313" t="s">
        <v>41</v>
      </c>
      <c r="C313" t="s">
        <v>410</v>
      </c>
      <c r="D313" t="s">
        <v>43</v>
      </c>
      <c r="E313" t="s">
        <v>43</v>
      </c>
      <c r="F313">
        <v>2</v>
      </c>
      <c r="G313">
        <v>80</v>
      </c>
      <c r="H313">
        <v>160</v>
      </c>
      <c r="I313">
        <v>30</v>
      </c>
      <c r="J313">
        <v>60</v>
      </c>
      <c r="K313">
        <v>100</v>
      </c>
      <c r="L313" t="s">
        <v>29</v>
      </c>
      <c r="M313" t="s">
        <v>56</v>
      </c>
      <c r="N313" t="s">
        <v>46</v>
      </c>
      <c r="O313">
        <v>20.36</v>
      </c>
      <c r="P313">
        <v>51.52</v>
      </c>
      <c r="Q313">
        <v>15.67</v>
      </c>
      <c r="R313">
        <v>20.3</v>
      </c>
      <c r="S313">
        <v>3.67</v>
      </c>
      <c r="T313">
        <v>7.58</v>
      </c>
      <c r="U313">
        <v>3.84</v>
      </c>
      <c r="V313">
        <v>2.95</v>
      </c>
      <c r="W313">
        <v>-25.89</v>
      </c>
      <c r="X313" t="s">
        <v>66</v>
      </c>
      <c r="Y313" t="s">
        <v>33</v>
      </c>
    </row>
    <row r="314" spans="1:25" x14ac:dyDescent="0.3">
      <c r="A314">
        <v>313</v>
      </c>
      <c r="B314" t="s">
        <v>159</v>
      </c>
      <c r="C314" t="s">
        <v>343</v>
      </c>
      <c r="D314" t="s">
        <v>49</v>
      </c>
      <c r="E314" t="s">
        <v>50</v>
      </c>
      <c r="F314">
        <v>1</v>
      </c>
      <c r="G314">
        <v>180</v>
      </c>
      <c r="H314">
        <v>180</v>
      </c>
      <c r="I314">
        <v>90</v>
      </c>
      <c r="J314">
        <v>90</v>
      </c>
      <c r="K314">
        <v>90</v>
      </c>
      <c r="L314" t="s">
        <v>37</v>
      </c>
      <c r="M314" t="s">
        <v>45</v>
      </c>
      <c r="N314" t="s">
        <v>39</v>
      </c>
      <c r="O314">
        <v>25.15</v>
      </c>
      <c r="P314">
        <v>37.869999999999997</v>
      </c>
      <c r="Q314">
        <v>16.63</v>
      </c>
      <c r="R314">
        <v>24.53</v>
      </c>
      <c r="S314">
        <v>4.3</v>
      </c>
      <c r="T314">
        <v>12.12</v>
      </c>
      <c r="U314">
        <v>5.0599999999999996</v>
      </c>
      <c r="V314">
        <v>1.4</v>
      </c>
      <c r="W314">
        <v>-37.06</v>
      </c>
      <c r="X314" t="s">
        <v>32</v>
      </c>
      <c r="Y314" t="s">
        <v>40</v>
      </c>
    </row>
    <row r="315" spans="1:25" x14ac:dyDescent="0.3">
      <c r="A315">
        <v>314</v>
      </c>
      <c r="B315" t="s">
        <v>130</v>
      </c>
      <c r="C315" t="s">
        <v>235</v>
      </c>
      <c r="D315" t="s">
        <v>89</v>
      </c>
      <c r="E315" t="s">
        <v>28</v>
      </c>
      <c r="F315">
        <v>2</v>
      </c>
      <c r="G315">
        <v>180</v>
      </c>
      <c r="H315">
        <v>360</v>
      </c>
      <c r="I315">
        <v>75</v>
      </c>
      <c r="J315">
        <v>150</v>
      </c>
      <c r="K315">
        <v>210</v>
      </c>
      <c r="L315" t="s">
        <v>44</v>
      </c>
      <c r="M315" t="s">
        <v>56</v>
      </c>
      <c r="N315" t="s">
        <v>81</v>
      </c>
      <c r="O315">
        <v>11.56</v>
      </c>
      <c r="P315">
        <v>51.69</v>
      </c>
      <c r="Q315">
        <v>8.5500000000000007</v>
      </c>
      <c r="R315">
        <v>8.11</v>
      </c>
      <c r="S315">
        <v>1.73</v>
      </c>
      <c r="T315">
        <v>13.13</v>
      </c>
      <c r="U315">
        <v>4.17</v>
      </c>
      <c r="V315">
        <v>2.16</v>
      </c>
      <c r="W315">
        <v>108.9</v>
      </c>
      <c r="X315" t="s">
        <v>57</v>
      </c>
      <c r="Y315" t="s">
        <v>40</v>
      </c>
    </row>
    <row r="316" spans="1:25" x14ac:dyDescent="0.3">
      <c r="A316">
        <v>315</v>
      </c>
      <c r="B316" t="s">
        <v>256</v>
      </c>
      <c r="C316" t="s">
        <v>189</v>
      </c>
      <c r="D316" t="s">
        <v>43</v>
      </c>
      <c r="E316" t="s">
        <v>43</v>
      </c>
      <c r="F316">
        <v>1</v>
      </c>
      <c r="G316">
        <v>80</v>
      </c>
      <c r="H316">
        <v>80</v>
      </c>
      <c r="I316">
        <v>30</v>
      </c>
      <c r="J316">
        <v>30</v>
      </c>
      <c r="K316">
        <v>50</v>
      </c>
      <c r="L316" t="s">
        <v>29</v>
      </c>
      <c r="M316" t="s">
        <v>38</v>
      </c>
      <c r="N316" t="s">
        <v>90</v>
      </c>
      <c r="O316">
        <v>11.74</v>
      </c>
      <c r="P316">
        <v>45.1</v>
      </c>
      <c r="Q316">
        <v>11.62</v>
      </c>
      <c r="R316">
        <v>9.61</v>
      </c>
      <c r="S316">
        <v>1</v>
      </c>
      <c r="T316">
        <v>8.27</v>
      </c>
      <c r="U316">
        <v>7.3</v>
      </c>
      <c r="V316">
        <v>2.92</v>
      </c>
      <c r="W316">
        <v>-47.56</v>
      </c>
      <c r="X316" t="s">
        <v>32</v>
      </c>
      <c r="Y316" t="s">
        <v>40</v>
      </c>
    </row>
    <row r="317" spans="1:25" x14ac:dyDescent="0.3">
      <c r="A317">
        <v>316</v>
      </c>
      <c r="B317" t="s">
        <v>229</v>
      </c>
      <c r="C317" t="s">
        <v>92</v>
      </c>
      <c r="D317" t="s">
        <v>109</v>
      </c>
      <c r="E317" t="s">
        <v>50</v>
      </c>
      <c r="F317">
        <v>2</v>
      </c>
      <c r="G317">
        <v>150</v>
      </c>
      <c r="H317">
        <v>300</v>
      </c>
      <c r="I317">
        <v>70</v>
      </c>
      <c r="J317">
        <v>140</v>
      </c>
      <c r="K317">
        <v>160</v>
      </c>
      <c r="L317" t="s">
        <v>86</v>
      </c>
      <c r="M317" t="s">
        <v>63</v>
      </c>
      <c r="N317" t="s">
        <v>31</v>
      </c>
      <c r="O317">
        <v>35.01</v>
      </c>
      <c r="P317">
        <v>28.12</v>
      </c>
      <c r="Q317">
        <v>5.56</v>
      </c>
      <c r="R317">
        <v>31.54</v>
      </c>
      <c r="S317">
        <v>1.4</v>
      </c>
      <c r="T317">
        <v>2.2599999999999998</v>
      </c>
      <c r="U317">
        <v>1.51</v>
      </c>
      <c r="V317">
        <v>2.95</v>
      </c>
      <c r="W317">
        <v>51.65</v>
      </c>
      <c r="X317" t="s">
        <v>66</v>
      </c>
      <c r="Y317" t="s">
        <v>40</v>
      </c>
    </row>
    <row r="318" spans="1:25" x14ac:dyDescent="0.3">
      <c r="A318">
        <v>317</v>
      </c>
      <c r="B318" t="s">
        <v>93</v>
      </c>
      <c r="C318" t="s">
        <v>411</v>
      </c>
      <c r="D318" t="s">
        <v>62</v>
      </c>
      <c r="E318" t="s">
        <v>28</v>
      </c>
      <c r="F318">
        <v>1</v>
      </c>
      <c r="G318">
        <v>250</v>
      </c>
      <c r="H318">
        <v>250</v>
      </c>
      <c r="I318">
        <v>110</v>
      </c>
      <c r="J318">
        <v>110</v>
      </c>
      <c r="K318">
        <v>140</v>
      </c>
      <c r="L318" t="s">
        <v>29</v>
      </c>
      <c r="M318" t="s">
        <v>45</v>
      </c>
      <c r="N318" t="s">
        <v>90</v>
      </c>
      <c r="O318">
        <v>15.43</v>
      </c>
      <c r="P318">
        <v>33.9</v>
      </c>
      <c r="Q318">
        <v>17.760000000000002</v>
      </c>
      <c r="R318">
        <v>13.27</v>
      </c>
      <c r="S318">
        <v>3.39</v>
      </c>
      <c r="T318">
        <v>6.2</v>
      </c>
      <c r="U318">
        <v>5.65</v>
      </c>
      <c r="V318">
        <v>2.76</v>
      </c>
      <c r="W318">
        <v>41.64</v>
      </c>
      <c r="X318" t="s">
        <v>32</v>
      </c>
      <c r="Y318" t="s">
        <v>40</v>
      </c>
    </row>
    <row r="319" spans="1:25" x14ac:dyDescent="0.3">
      <c r="A319">
        <v>318</v>
      </c>
      <c r="B319" t="s">
        <v>309</v>
      </c>
      <c r="C319" t="s">
        <v>389</v>
      </c>
      <c r="D319" t="s">
        <v>27</v>
      </c>
      <c r="E319" t="s">
        <v>28</v>
      </c>
      <c r="F319">
        <v>1</v>
      </c>
      <c r="G319">
        <v>200</v>
      </c>
      <c r="H319">
        <v>200</v>
      </c>
      <c r="I319">
        <v>90</v>
      </c>
      <c r="J319">
        <v>90</v>
      </c>
      <c r="K319">
        <v>110</v>
      </c>
      <c r="L319" t="s">
        <v>55</v>
      </c>
      <c r="M319" t="s">
        <v>56</v>
      </c>
      <c r="N319" t="s">
        <v>90</v>
      </c>
      <c r="O319">
        <v>33.04</v>
      </c>
      <c r="P319">
        <v>32.67</v>
      </c>
      <c r="Q319">
        <v>15.97</v>
      </c>
      <c r="R319">
        <v>31.65</v>
      </c>
      <c r="S319">
        <v>3.15</v>
      </c>
      <c r="T319">
        <v>8.5399999999999991</v>
      </c>
      <c r="U319">
        <v>7.13</v>
      </c>
      <c r="V319">
        <v>2.1</v>
      </c>
      <c r="W319">
        <v>-24.25</v>
      </c>
      <c r="X319" t="s">
        <v>57</v>
      </c>
      <c r="Y319" t="s">
        <v>33</v>
      </c>
    </row>
    <row r="320" spans="1:25" x14ac:dyDescent="0.3">
      <c r="A320">
        <v>319</v>
      </c>
      <c r="B320" t="s">
        <v>344</v>
      </c>
      <c r="C320" t="s">
        <v>403</v>
      </c>
      <c r="D320" t="s">
        <v>49</v>
      </c>
      <c r="E320" t="s">
        <v>50</v>
      </c>
      <c r="F320">
        <v>3</v>
      </c>
      <c r="G320">
        <v>180</v>
      </c>
      <c r="H320">
        <v>540</v>
      </c>
      <c r="I320">
        <v>90</v>
      </c>
      <c r="J320">
        <v>270</v>
      </c>
      <c r="K320">
        <v>270</v>
      </c>
      <c r="L320" t="s">
        <v>86</v>
      </c>
      <c r="M320" t="s">
        <v>38</v>
      </c>
      <c r="N320" t="s">
        <v>39</v>
      </c>
      <c r="O320">
        <v>22.31</v>
      </c>
      <c r="P320">
        <v>26.12</v>
      </c>
      <c r="Q320">
        <v>11.22</v>
      </c>
      <c r="R320">
        <v>33.119999999999997</v>
      </c>
      <c r="S320">
        <v>1.1299999999999999</v>
      </c>
      <c r="T320">
        <v>2.85</v>
      </c>
      <c r="U320">
        <v>1.29</v>
      </c>
      <c r="V320">
        <v>1.32</v>
      </c>
      <c r="W320">
        <v>170.64</v>
      </c>
      <c r="X320" t="s">
        <v>66</v>
      </c>
      <c r="Y320" t="s">
        <v>40</v>
      </c>
    </row>
    <row r="321" spans="1:25" x14ac:dyDescent="0.3">
      <c r="A321">
        <v>320</v>
      </c>
      <c r="B321" t="s">
        <v>79</v>
      </c>
      <c r="C321" t="s">
        <v>412</v>
      </c>
      <c r="D321" t="s">
        <v>62</v>
      </c>
      <c r="E321" t="s">
        <v>28</v>
      </c>
      <c r="F321">
        <v>2</v>
      </c>
      <c r="G321">
        <v>250</v>
      </c>
      <c r="H321">
        <v>500</v>
      </c>
      <c r="I321">
        <v>110</v>
      </c>
      <c r="J321">
        <v>220</v>
      </c>
      <c r="K321">
        <v>280</v>
      </c>
      <c r="L321" t="s">
        <v>37</v>
      </c>
      <c r="M321" t="s">
        <v>63</v>
      </c>
      <c r="N321" t="s">
        <v>39</v>
      </c>
      <c r="O321">
        <v>20.27</v>
      </c>
      <c r="P321">
        <v>34.44</v>
      </c>
      <c r="Q321">
        <v>8.76</v>
      </c>
      <c r="R321">
        <v>16.54</v>
      </c>
      <c r="S321">
        <v>2.0499999999999998</v>
      </c>
      <c r="T321">
        <v>5.58</v>
      </c>
      <c r="U321">
        <v>2.97</v>
      </c>
      <c r="V321">
        <v>1.58</v>
      </c>
      <c r="W321">
        <v>187.81</v>
      </c>
      <c r="X321" t="s">
        <v>57</v>
      </c>
      <c r="Y321" t="s">
        <v>40</v>
      </c>
    </row>
    <row r="322" spans="1:25" x14ac:dyDescent="0.3">
      <c r="A322">
        <v>321</v>
      </c>
      <c r="B322" t="s">
        <v>195</v>
      </c>
      <c r="C322" t="s">
        <v>85</v>
      </c>
      <c r="D322" t="s">
        <v>62</v>
      </c>
      <c r="E322" t="s">
        <v>28</v>
      </c>
      <c r="F322">
        <v>2</v>
      </c>
      <c r="G322">
        <v>250</v>
      </c>
      <c r="H322">
        <v>500</v>
      </c>
      <c r="I322">
        <v>110</v>
      </c>
      <c r="J322">
        <v>220</v>
      </c>
      <c r="K322">
        <v>280</v>
      </c>
      <c r="L322" t="s">
        <v>86</v>
      </c>
      <c r="M322" t="s">
        <v>63</v>
      </c>
      <c r="N322" t="s">
        <v>31</v>
      </c>
      <c r="O322">
        <v>13.78</v>
      </c>
      <c r="P322">
        <v>16.489999999999998</v>
      </c>
      <c r="Q322">
        <v>11.78</v>
      </c>
      <c r="R322">
        <v>15.63</v>
      </c>
      <c r="S322">
        <v>4.7699999999999996</v>
      </c>
      <c r="T322">
        <v>3.81</v>
      </c>
      <c r="U322">
        <v>4.4400000000000004</v>
      </c>
      <c r="V322">
        <v>0.62</v>
      </c>
      <c r="W322">
        <v>208.68</v>
      </c>
      <c r="X322" t="s">
        <v>66</v>
      </c>
      <c r="Y322" t="s">
        <v>40</v>
      </c>
    </row>
    <row r="323" spans="1:25" x14ac:dyDescent="0.3">
      <c r="A323">
        <v>322</v>
      </c>
      <c r="B323" t="s">
        <v>97</v>
      </c>
      <c r="C323" t="s">
        <v>274</v>
      </c>
      <c r="D323" t="s">
        <v>36</v>
      </c>
      <c r="E323" t="s">
        <v>28</v>
      </c>
      <c r="F323">
        <v>1</v>
      </c>
      <c r="G323">
        <v>220</v>
      </c>
      <c r="H323">
        <v>220</v>
      </c>
      <c r="I323">
        <v>100</v>
      </c>
      <c r="J323">
        <v>100</v>
      </c>
      <c r="K323">
        <v>120</v>
      </c>
      <c r="L323" t="s">
        <v>86</v>
      </c>
      <c r="M323" t="s">
        <v>56</v>
      </c>
      <c r="N323" t="s">
        <v>90</v>
      </c>
      <c r="O323">
        <v>10.210000000000001</v>
      </c>
      <c r="P323">
        <v>25.56</v>
      </c>
      <c r="Q323">
        <v>5.0599999999999996</v>
      </c>
      <c r="R323">
        <v>27.48</v>
      </c>
      <c r="S323">
        <v>2.17</v>
      </c>
      <c r="T323">
        <v>12.3</v>
      </c>
      <c r="U323">
        <v>1.63</v>
      </c>
      <c r="V323">
        <v>1.17</v>
      </c>
      <c r="W323">
        <v>34.42</v>
      </c>
      <c r="X323" t="s">
        <v>32</v>
      </c>
      <c r="Y323" t="s">
        <v>40</v>
      </c>
    </row>
    <row r="324" spans="1:25" x14ac:dyDescent="0.3">
      <c r="A324">
        <v>323</v>
      </c>
      <c r="B324" t="s">
        <v>99</v>
      </c>
      <c r="C324" t="s">
        <v>413</v>
      </c>
      <c r="D324" t="s">
        <v>27</v>
      </c>
      <c r="E324" t="s">
        <v>28</v>
      </c>
      <c r="F324">
        <v>2</v>
      </c>
      <c r="G324">
        <v>200</v>
      </c>
      <c r="H324">
        <v>400</v>
      </c>
      <c r="I324">
        <v>90</v>
      </c>
      <c r="J324">
        <v>180</v>
      </c>
      <c r="K324">
        <v>220</v>
      </c>
      <c r="L324" t="s">
        <v>44</v>
      </c>
      <c r="M324" t="s">
        <v>56</v>
      </c>
      <c r="N324" t="s">
        <v>39</v>
      </c>
      <c r="O324">
        <v>18.579999999999998</v>
      </c>
      <c r="P324">
        <v>23.61</v>
      </c>
      <c r="Q324">
        <v>6.89</v>
      </c>
      <c r="R324">
        <v>23.02</v>
      </c>
      <c r="S324">
        <v>4.47</v>
      </c>
      <c r="T324">
        <v>10.55</v>
      </c>
      <c r="U324">
        <v>1.53</v>
      </c>
      <c r="V324">
        <v>1.75</v>
      </c>
      <c r="W324">
        <v>129.6</v>
      </c>
      <c r="X324" t="s">
        <v>66</v>
      </c>
      <c r="Y324" t="s">
        <v>40</v>
      </c>
    </row>
    <row r="325" spans="1:25" x14ac:dyDescent="0.3">
      <c r="A325">
        <v>324</v>
      </c>
      <c r="B325" t="s">
        <v>414</v>
      </c>
      <c r="C325" t="s">
        <v>265</v>
      </c>
      <c r="D325" t="s">
        <v>36</v>
      </c>
      <c r="E325" t="s">
        <v>28</v>
      </c>
      <c r="F325">
        <v>3</v>
      </c>
      <c r="G325">
        <v>220</v>
      </c>
      <c r="H325">
        <v>660</v>
      </c>
      <c r="I325">
        <v>100</v>
      </c>
      <c r="J325">
        <v>300</v>
      </c>
      <c r="K325">
        <v>360</v>
      </c>
      <c r="L325" t="s">
        <v>37</v>
      </c>
      <c r="M325" t="s">
        <v>30</v>
      </c>
      <c r="N325" t="s">
        <v>90</v>
      </c>
      <c r="O325">
        <v>39.85</v>
      </c>
      <c r="P325">
        <v>15.09</v>
      </c>
      <c r="Q325">
        <v>13.51</v>
      </c>
      <c r="R325">
        <v>22.04</v>
      </c>
      <c r="S325">
        <v>0.94</v>
      </c>
      <c r="T325">
        <v>6.07</v>
      </c>
      <c r="U325">
        <v>6.01</v>
      </c>
      <c r="V325">
        <v>0.66</v>
      </c>
      <c r="W325">
        <v>255.83</v>
      </c>
      <c r="X325" t="s">
        <v>66</v>
      </c>
      <c r="Y325" t="s">
        <v>40</v>
      </c>
    </row>
    <row r="326" spans="1:25" x14ac:dyDescent="0.3">
      <c r="A326">
        <v>325</v>
      </c>
      <c r="B326" t="s">
        <v>145</v>
      </c>
      <c r="C326" t="s">
        <v>415</v>
      </c>
      <c r="D326" t="s">
        <v>49</v>
      </c>
      <c r="E326" t="s">
        <v>50</v>
      </c>
      <c r="F326">
        <v>4</v>
      </c>
      <c r="G326">
        <v>180</v>
      </c>
      <c r="H326">
        <v>720</v>
      </c>
      <c r="I326">
        <v>90</v>
      </c>
      <c r="J326">
        <v>360</v>
      </c>
      <c r="K326">
        <v>360</v>
      </c>
      <c r="L326" t="s">
        <v>29</v>
      </c>
      <c r="M326" t="s">
        <v>63</v>
      </c>
      <c r="N326" t="s">
        <v>31</v>
      </c>
      <c r="O326">
        <v>39.07</v>
      </c>
      <c r="P326">
        <v>48.83</v>
      </c>
      <c r="Q326">
        <v>15.65</v>
      </c>
      <c r="R326">
        <v>17.12</v>
      </c>
      <c r="S326">
        <v>2.33</v>
      </c>
      <c r="T326">
        <v>12.36</v>
      </c>
      <c r="U326">
        <v>4.3899999999999997</v>
      </c>
      <c r="V326">
        <v>0.43</v>
      </c>
      <c r="W326">
        <v>219.82</v>
      </c>
      <c r="X326" t="s">
        <v>66</v>
      </c>
      <c r="Y326" t="s">
        <v>40</v>
      </c>
    </row>
    <row r="327" spans="1:25" x14ac:dyDescent="0.3">
      <c r="A327">
        <v>326</v>
      </c>
      <c r="B327" t="s">
        <v>193</v>
      </c>
      <c r="C327" t="s">
        <v>416</v>
      </c>
      <c r="D327" t="s">
        <v>89</v>
      </c>
      <c r="E327" t="s">
        <v>28</v>
      </c>
      <c r="F327">
        <v>3</v>
      </c>
      <c r="G327">
        <v>180</v>
      </c>
      <c r="H327">
        <v>540</v>
      </c>
      <c r="I327">
        <v>75</v>
      </c>
      <c r="J327">
        <v>225</v>
      </c>
      <c r="K327">
        <v>315</v>
      </c>
      <c r="L327" t="s">
        <v>86</v>
      </c>
      <c r="M327" t="s">
        <v>56</v>
      </c>
      <c r="N327" t="s">
        <v>90</v>
      </c>
      <c r="O327">
        <v>38.979999999999997</v>
      </c>
      <c r="P327">
        <v>47.92</v>
      </c>
      <c r="Q327">
        <v>11.91</v>
      </c>
      <c r="R327">
        <v>22.01</v>
      </c>
      <c r="S327">
        <v>2.25</v>
      </c>
      <c r="T327">
        <v>10.58</v>
      </c>
      <c r="U327">
        <v>1.07</v>
      </c>
      <c r="V327">
        <v>2.72</v>
      </c>
      <c r="W327">
        <v>177.56</v>
      </c>
      <c r="X327" t="s">
        <v>57</v>
      </c>
      <c r="Y327" t="s">
        <v>33</v>
      </c>
    </row>
    <row r="328" spans="1:25" x14ac:dyDescent="0.3">
      <c r="A328">
        <v>327</v>
      </c>
      <c r="B328" t="s">
        <v>238</v>
      </c>
      <c r="C328" t="s">
        <v>223</v>
      </c>
      <c r="D328" t="s">
        <v>54</v>
      </c>
      <c r="E328" t="s">
        <v>28</v>
      </c>
      <c r="F328">
        <v>3</v>
      </c>
      <c r="G328">
        <v>120</v>
      </c>
      <c r="H328">
        <v>360</v>
      </c>
      <c r="I328">
        <v>50</v>
      </c>
      <c r="J328">
        <v>150</v>
      </c>
      <c r="K328">
        <v>210</v>
      </c>
      <c r="L328" t="s">
        <v>55</v>
      </c>
      <c r="M328" t="s">
        <v>63</v>
      </c>
      <c r="N328" t="s">
        <v>31</v>
      </c>
      <c r="O328">
        <v>29.24</v>
      </c>
      <c r="P328">
        <v>40.89</v>
      </c>
      <c r="Q328">
        <v>13.24</v>
      </c>
      <c r="R328">
        <v>4.17</v>
      </c>
      <c r="S328">
        <v>1.02</v>
      </c>
      <c r="T328">
        <v>2.37</v>
      </c>
      <c r="U328">
        <v>7.54</v>
      </c>
      <c r="V328">
        <v>1.89</v>
      </c>
      <c r="W328">
        <v>109.64</v>
      </c>
      <c r="X328" t="s">
        <v>57</v>
      </c>
      <c r="Y328" t="s">
        <v>40</v>
      </c>
    </row>
    <row r="329" spans="1:25" x14ac:dyDescent="0.3">
      <c r="A329">
        <v>328</v>
      </c>
      <c r="B329" t="s">
        <v>396</v>
      </c>
      <c r="C329" t="s">
        <v>417</v>
      </c>
      <c r="D329" t="s">
        <v>36</v>
      </c>
      <c r="E329" t="s">
        <v>28</v>
      </c>
      <c r="F329">
        <v>4</v>
      </c>
      <c r="G329">
        <v>220</v>
      </c>
      <c r="H329">
        <v>880</v>
      </c>
      <c r="I329">
        <v>100</v>
      </c>
      <c r="J329">
        <v>400</v>
      </c>
      <c r="K329">
        <v>480</v>
      </c>
      <c r="L329" t="s">
        <v>44</v>
      </c>
      <c r="M329" t="s">
        <v>63</v>
      </c>
      <c r="N329" t="s">
        <v>90</v>
      </c>
      <c r="O329">
        <v>32.53</v>
      </c>
      <c r="P329">
        <v>40.97</v>
      </c>
      <c r="Q329">
        <v>5.59</v>
      </c>
      <c r="R329">
        <v>2.75</v>
      </c>
      <c r="S329">
        <v>0.47</v>
      </c>
      <c r="T329">
        <v>9.82</v>
      </c>
      <c r="U329">
        <v>6.53</v>
      </c>
      <c r="V329">
        <v>1.19</v>
      </c>
      <c r="W329">
        <v>380.15</v>
      </c>
      <c r="X329" t="s">
        <v>66</v>
      </c>
      <c r="Y329" t="s">
        <v>33</v>
      </c>
    </row>
    <row r="330" spans="1:25" x14ac:dyDescent="0.3">
      <c r="A330">
        <v>329</v>
      </c>
      <c r="B330" t="s">
        <v>193</v>
      </c>
      <c r="C330" t="s">
        <v>418</v>
      </c>
      <c r="D330" t="s">
        <v>109</v>
      </c>
      <c r="E330" t="s">
        <v>50</v>
      </c>
      <c r="F330">
        <v>1</v>
      </c>
      <c r="G330">
        <v>150</v>
      </c>
      <c r="H330">
        <v>150</v>
      </c>
      <c r="I330">
        <v>70</v>
      </c>
      <c r="J330">
        <v>70</v>
      </c>
      <c r="K330">
        <v>80</v>
      </c>
      <c r="L330" t="s">
        <v>37</v>
      </c>
      <c r="M330" t="s">
        <v>38</v>
      </c>
      <c r="N330" t="s">
        <v>39</v>
      </c>
      <c r="O330">
        <v>38.020000000000003</v>
      </c>
      <c r="P330">
        <v>17.97</v>
      </c>
      <c r="Q330">
        <v>10.69</v>
      </c>
      <c r="R330">
        <v>5.79</v>
      </c>
      <c r="S330">
        <v>4.83</v>
      </c>
      <c r="T330">
        <v>11.98</v>
      </c>
      <c r="U330">
        <v>1.17</v>
      </c>
      <c r="V330">
        <v>0.95</v>
      </c>
      <c r="W330">
        <v>-11.4</v>
      </c>
      <c r="X330" t="s">
        <v>32</v>
      </c>
      <c r="Y330" t="s">
        <v>33</v>
      </c>
    </row>
    <row r="331" spans="1:25" x14ac:dyDescent="0.3">
      <c r="A331">
        <v>330</v>
      </c>
      <c r="B331" t="s">
        <v>143</v>
      </c>
      <c r="C331" t="s">
        <v>124</v>
      </c>
      <c r="D331" t="s">
        <v>36</v>
      </c>
      <c r="E331" t="s">
        <v>28</v>
      </c>
      <c r="F331">
        <v>2</v>
      </c>
      <c r="G331">
        <v>220</v>
      </c>
      <c r="H331">
        <v>440</v>
      </c>
      <c r="I331">
        <v>100</v>
      </c>
      <c r="J331">
        <v>200</v>
      </c>
      <c r="K331">
        <v>240</v>
      </c>
      <c r="L331" t="s">
        <v>86</v>
      </c>
      <c r="M331" t="s">
        <v>56</v>
      </c>
      <c r="N331" t="s">
        <v>31</v>
      </c>
      <c r="O331">
        <v>17.010000000000002</v>
      </c>
      <c r="P331">
        <v>18.68</v>
      </c>
      <c r="Q331">
        <v>16.64</v>
      </c>
      <c r="R331">
        <v>13.17</v>
      </c>
      <c r="S331">
        <v>1.35</v>
      </c>
      <c r="T331">
        <v>10.9</v>
      </c>
      <c r="U331">
        <v>2.1</v>
      </c>
      <c r="V331">
        <v>2.1</v>
      </c>
      <c r="W331">
        <v>158.05000000000001</v>
      </c>
      <c r="X331" t="s">
        <v>66</v>
      </c>
      <c r="Y331" t="s">
        <v>40</v>
      </c>
    </row>
    <row r="332" spans="1:25" x14ac:dyDescent="0.3">
      <c r="A332">
        <v>331</v>
      </c>
      <c r="B332" t="s">
        <v>419</v>
      </c>
      <c r="C332" t="s">
        <v>420</v>
      </c>
      <c r="D332" t="s">
        <v>109</v>
      </c>
      <c r="E332" t="s">
        <v>50</v>
      </c>
      <c r="F332">
        <v>3</v>
      </c>
      <c r="G332">
        <v>150</v>
      </c>
      <c r="H332">
        <v>450</v>
      </c>
      <c r="I332">
        <v>70</v>
      </c>
      <c r="J332">
        <v>210</v>
      </c>
      <c r="K332">
        <v>240</v>
      </c>
      <c r="L332" t="s">
        <v>44</v>
      </c>
      <c r="M332" t="s">
        <v>56</v>
      </c>
      <c r="N332" t="s">
        <v>46</v>
      </c>
      <c r="O332">
        <v>20.96</v>
      </c>
      <c r="P332">
        <v>27.44</v>
      </c>
      <c r="Q332">
        <v>6.59</v>
      </c>
      <c r="R332">
        <v>25.31</v>
      </c>
      <c r="S332">
        <v>2.35</v>
      </c>
      <c r="T332">
        <v>3.98</v>
      </c>
      <c r="U332">
        <v>3.2</v>
      </c>
      <c r="V332">
        <v>1.94</v>
      </c>
      <c r="W332">
        <v>148.22999999999999</v>
      </c>
      <c r="X332" t="s">
        <v>66</v>
      </c>
      <c r="Y332" t="s">
        <v>40</v>
      </c>
    </row>
    <row r="333" spans="1:25" x14ac:dyDescent="0.3">
      <c r="A333">
        <v>332</v>
      </c>
      <c r="B333" t="s">
        <v>351</v>
      </c>
      <c r="C333" t="s">
        <v>116</v>
      </c>
      <c r="D333" t="s">
        <v>27</v>
      </c>
      <c r="E333" t="s">
        <v>28</v>
      </c>
      <c r="F333">
        <v>4</v>
      </c>
      <c r="G333">
        <v>200</v>
      </c>
      <c r="H333">
        <v>800</v>
      </c>
      <c r="I333">
        <v>90</v>
      </c>
      <c r="J333">
        <v>360</v>
      </c>
      <c r="K333">
        <v>440</v>
      </c>
      <c r="L333" t="s">
        <v>37</v>
      </c>
      <c r="M333" t="s">
        <v>30</v>
      </c>
      <c r="N333" t="s">
        <v>46</v>
      </c>
      <c r="O333">
        <v>24.87</v>
      </c>
      <c r="P333">
        <v>25.14</v>
      </c>
      <c r="Q333">
        <v>8.0399999999999991</v>
      </c>
      <c r="R333">
        <v>2.02</v>
      </c>
      <c r="S333">
        <v>3.33</v>
      </c>
      <c r="T333">
        <v>10.01</v>
      </c>
      <c r="U333">
        <v>7.08</v>
      </c>
      <c r="V333">
        <v>2.31</v>
      </c>
      <c r="W333">
        <v>357.2</v>
      </c>
      <c r="X333" t="s">
        <v>57</v>
      </c>
      <c r="Y333" t="s">
        <v>40</v>
      </c>
    </row>
    <row r="334" spans="1:25" x14ac:dyDescent="0.3">
      <c r="A334">
        <v>333</v>
      </c>
      <c r="B334" t="s">
        <v>421</v>
      </c>
      <c r="C334" t="s">
        <v>261</v>
      </c>
      <c r="D334" t="s">
        <v>36</v>
      </c>
      <c r="E334" t="s">
        <v>28</v>
      </c>
      <c r="F334">
        <v>3</v>
      </c>
      <c r="G334">
        <v>220</v>
      </c>
      <c r="H334">
        <v>660</v>
      </c>
      <c r="I334">
        <v>100</v>
      </c>
      <c r="J334">
        <v>300</v>
      </c>
      <c r="K334">
        <v>360</v>
      </c>
      <c r="L334" t="s">
        <v>44</v>
      </c>
      <c r="M334" t="s">
        <v>38</v>
      </c>
      <c r="N334" t="s">
        <v>46</v>
      </c>
      <c r="O334">
        <v>11.65</v>
      </c>
      <c r="P334">
        <v>36.380000000000003</v>
      </c>
      <c r="Q334">
        <v>14.5</v>
      </c>
      <c r="R334">
        <v>24.98</v>
      </c>
      <c r="S334">
        <v>1.51</v>
      </c>
      <c r="T334">
        <v>13.7</v>
      </c>
      <c r="U334">
        <v>5.44</v>
      </c>
      <c r="V334">
        <v>0.86</v>
      </c>
      <c r="W334">
        <v>250.98</v>
      </c>
      <c r="X334" t="s">
        <v>57</v>
      </c>
      <c r="Y334" t="s">
        <v>33</v>
      </c>
    </row>
    <row r="335" spans="1:25" x14ac:dyDescent="0.3">
      <c r="A335">
        <v>334</v>
      </c>
      <c r="B335" t="s">
        <v>314</v>
      </c>
      <c r="C335" t="s">
        <v>422</v>
      </c>
      <c r="D335" t="s">
        <v>89</v>
      </c>
      <c r="E335" t="s">
        <v>28</v>
      </c>
      <c r="F335">
        <v>1</v>
      </c>
      <c r="G335">
        <v>180</v>
      </c>
      <c r="H335">
        <v>180</v>
      </c>
      <c r="I335">
        <v>75</v>
      </c>
      <c r="J335">
        <v>75</v>
      </c>
      <c r="K335">
        <v>105</v>
      </c>
      <c r="L335" t="s">
        <v>44</v>
      </c>
      <c r="M335" t="s">
        <v>30</v>
      </c>
      <c r="N335" t="s">
        <v>31</v>
      </c>
      <c r="O335">
        <v>37.86</v>
      </c>
      <c r="P335">
        <v>22.78</v>
      </c>
      <c r="Q335">
        <v>9.66</v>
      </c>
      <c r="R335">
        <v>25.11</v>
      </c>
      <c r="S335">
        <v>2.4500000000000002</v>
      </c>
      <c r="T335">
        <v>14.87</v>
      </c>
      <c r="U335">
        <v>7.37</v>
      </c>
      <c r="V335">
        <v>1.23</v>
      </c>
      <c r="W335">
        <v>-16.329999999999998</v>
      </c>
      <c r="X335" t="s">
        <v>57</v>
      </c>
      <c r="Y335" t="s">
        <v>33</v>
      </c>
    </row>
    <row r="336" spans="1:25" x14ac:dyDescent="0.3">
      <c r="A336">
        <v>335</v>
      </c>
      <c r="B336" t="s">
        <v>219</v>
      </c>
      <c r="C336" t="s">
        <v>423</v>
      </c>
      <c r="D336" t="s">
        <v>36</v>
      </c>
      <c r="E336" t="s">
        <v>28</v>
      </c>
      <c r="F336">
        <v>1</v>
      </c>
      <c r="G336">
        <v>220</v>
      </c>
      <c r="H336">
        <v>220</v>
      </c>
      <c r="I336">
        <v>100</v>
      </c>
      <c r="J336">
        <v>100</v>
      </c>
      <c r="K336">
        <v>120</v>
      </c>
      <c r="L336" t="s">
        <v>37</v>
      </c>
      <c r="M336" t="s">
        <v>45</v>
      </c>
      <c r="N336" t="s">
        <v>51</v>
      </c>
      <c r="O336">
        <v>29.27</v>
      </c>
      <c r="P336">
        <v>31.77</v>
      </c>
      <c r="Q336">
        <v>10.3</v>
      </c>
      <c r="R336">
        <v>33.299999999999997</v>
      </c>
      <c r="S336">
        <v>2.74</v>
      </c>
      <c r="T336">
        <v>10.85</v>
      </c>
      <c r="U336">
        <v>2.4900000000000002</v>
      </c>
      <c r="V336">
        <v>1.07</v>
      </c>
      <c r="W336">
        <v>-1.79</v>
      </c>
      <c r="X336" t="s">
        <v>32</v>
      </c>
      <c r="Y336" t="s">
        <v>40</v>
      </c>
    </row>
    <row r="337" spans="1:25" x14ac:dyDescent="0.3">
      <c r="A337">
        <v>336</v>
      </c>
      <c r="B337" t="s">
        <v>253</v>
      </c>
      <c r="C337" t="s">
        <v>269</v>
      </c>
      <c r="D337" t="s">
        <v>62</v>
      </c>
      <c r="E337" t="s">
        <v>28</v>
      </c>
      <c r="F337">
        <v>2</v>
      </c>
      <c r="G337">
        <v>250</v>
      </c>
      <c r="H337">
        <v>500</v>
      </c>
      <c r="I337">
        <v>110</v>
      </c>
      <c r="J337">
        <v>220</v>
      </c>
      <c r="K337">
        <v>280</v>
      </c>
      <c r="L337" t="s">
        <v>37</v>
      </c>
      <c r="M337" t="s">
        <v>38</v>
      </c>
      <c r="N337" t="s">
        <v>90</v>
      </c>
      <c r="O337">
        <v>31.19</v>
      </c>
      <c r="P337">
        <v>35.99</v>
      </c>
      <c r="Q337">
        <v>11.46</v>
      </c>
      <c r="R337">
        <v>12.06</v>
      </c>
      <c r="S337">
        <v>3.58</v>
      </c>
      <c r="T337">
        <v>6.42</v>
      </c>
      <c r="U337">
        <v>4.8899999999999997</v>
      </c>
      <c r="V337">
        <v>0.87</v>
      </c>
      <c r="W337">
        <v>173.54</v>
      </c>
      <c r="X337" t="s">
        <v>66</v>
      </c>
      <c r="Y337" t="s">
        <v>33</v>
      </c>
    </row>
    <row r="338" spans="1:25" x14ac:dyDescent="0.3">
      <c r="A338">
        <v>337</v>
      </c>
      <c r="B338" t="s">
        <v>424</v>
      </c>
      <c r="C338" t="s">
        <v>212</v>
      </c>
      <c r="D338" t="s">
        <v>54</v>
      </c>
      <c r="E338" t="s">
        <v>28</v>
      </c>
      <c r="F338">
        <v>1</v>
      </c>
      <c r="G338">
        <v>120</v>
      </c>
      <c r="H338">
        <v>120</v>
      </c>
      <c r="I338">
        <v>50</v>
      </c>
      <c r="J338">
        <v>50</v>
      </c>
      <c r="K338">
        <v>70</v>
      </c>
      <c r="L338" t="s">
        <v>55</v>
      </c>
      <c r="M338" t="s">
        <v>38</v>
      </c>
      <c r="N338" t="s">
        <v>46</v>
      </c>
      <c r="O338">
        <v>38.26</v>
      </c>
      <c r="P338">
        <v>25.81</v>
      </c>
      <c r="Q338">
        <v>8.6300000000000008</v>
      </c>
      <c r="R338">
        <v>10.51</v>
      </c>
      <c r="S338">
        <v>2.65</v>
      </c>
      <c r="T338">
        <v>9.92</v>
      </c>
      <c r="U338">
        <v>7.11</v>
      </c>
      <c r="V338">
        <v>2.7</v>
      </c>
      <c r="W338">
        <v>-35.590000000000003</v>
      </c>
      <c r="X338" t="s">
        <v>32</v>
      </c>
      <c r="Y338" t="s">
        <v>40</v>
      </c>
    </row>
    <row r="339" spans="1:25" x14ac:dyDescent="0.3">
      <c r="A339">
        <v>338</v>
      </c>
      <c r="B339" t="s">
        <v>425</v>
      </c>
      <c r="C339" t="s">
        <v>178</v>
      </c>
      <c r="D339" t="s">
        <v>62</v>
      </c>
      <c r="E339" t="s">
        <v>28</v>
      </c>
      <c r="F339">
        <v>3</v>
      </c>
      <c r="G339">
        <v>250</v>
      </c>
      <c r="H339">
        <v>750</v>
      </c>
      <c r="I339">
        <v>110</v>
      </c>
      <c r="J339">
        <v>330</v>
      </c>
      <c r="K339">
        <v>420</v>
      </c>
      <c r="L339" t="s">
        <v>37</v>
      </c>
      <c r="M339" t="s">
        <v>45</v>
      </c>
      <c r="N339" t="s">
        <v>31</v>
      </c>
      <c r="O339">
        <v>26.31</v>
      </c>
      <c r="P339">
        <v>57.41</v>
      </c>
      <c r="Q339">
        <v>16.68</v>
      </c>
      <c r="R339">
        <v>16.5</v>
      </c>
      <c r="S339">
        <v>4.3499999999999996</v>
      </c>
      <c r="T339">
        <v>3.69</v>
      </c>
      <c r="U339">
        <v>2.57</v>
      </c>
      <c r="V339">
        <v>1.54</v>
      </c>
      <c r="W339">
        <v>290.95</v>
      </c>
      <c r="X339" t="s">
        <v>57</v>
      </c>
      <c r="Y339" t="s">
        <v>33</v>
      </c>
    </row>
    <row r="340" spans="1:25" x14ac:dyDescent="0.3">
      <c r="A340">
        <v>339</v>
      </c>
      <c r="B340" t="s">
        <v>342</v>
      </c>
      <c r="C340" t="s">
        <v>422</v>
      </c>
      <c r="D340" t="s">
        <v>109</v>
      </c>
      <c r="E340" t="s">
        <v>50</v>
      </c>
      <c r="F340">
        <v>1</v>
      </c>
      <c r="G340">
        <v>150</v>
      </c>
      <c r="H340">
        <v>150</v>
      </c>
      <c r="I340">
        <v>70</v>
      </c>
      <c r="J340">
        <v>70</v>
      </c>
      <c r="K340">
        <v>80</v>
      </c>
      <c r="L340" t="s">
        <v>37</v>
      </c>
      <c r="M340" t="s">
        <v>38</v>
      </c>
      <c r="N340" t="s">
        <v>51</v>
      </c>
      <c r="O340">
        <v>10.14</v>
      </c>
      <c r="P340">
        <v>53.64</v>
      </c>
      <c r="Q340">
        <v>19.100000000000001</v>
      </c>
      <c r="R340">
        <v>0.73</v>
      </c>
      <c r="S340">
        <v>3.83</v>
      </c>
      <c r="T340">
        <v>12.94</v>
      </c>
      <c r="U340">
        <v>6.57</v>
      </c>
      <c r="V340">
        <v>0.37</v>
      </c>
      <c r="W340">
        <v>-27.32</v>
      </c>
      <c r="X340" t="s">
        <v>66</v>
      </c>
      <c r="Y340" t="s">
        <v>33</v>
      </c>
    </row>
    <row r="341" spans="1:25" x14ac:dyDescent="0.3">
      <c r="A341">
        <v>340</v>
      </c>
      <c r="B341" t="s">
        <v>426</v>
      </c>
      <c r="C341" t="s">
        <v>395</v>
      </c>
      <c r="D341" t="s">
        <v>43</v>
      </c>
      <c r="E341" t="s">
        <v>43</v>
      </c>
      <c r="F341">
        <v>3</v>
      </c>
      <c r="G341">
        <v>80</v>
      </c>
      <c r="H341">
        <v>240</v>
      </c>
      <c r="I341">
        <v>30</v>
      </c>
      <c r="J341">
        <v>90</v>
      </c>
      <c r="K341">
        <v>150</v>
      </c>
      <c r="L341" t="s">
        <v>37</v>
      </c>
      <c r="M341" t="s">
        <v>56</v>
      </c>
      <c r="N341" t="s">
        <v>31</v>
      </c>
      <c r="O341">
        <v>18.670000000000002</v>
      </c>
      <c r="P341">
        <v>32.44</v>
      </c>
      <c r="Q341">
        <v>5.19</v>
      </c>
      <c r="R341">
        <v>30.13</v>
      </c>
      <c r="S341">
        <v>1.36</v>
      </c>
      <c r="T341">
        <v>5.08</v>
      </c>
      <c r="U341">
        <v>1.43</v>
      </c>
      <c r="V341">
        <v>1.32</v>
      </c>
      <c r="W341">
        <v>54.38</v>
      </c>
      <c r="X341" t="s">
        <v>57</v>
      </c>
      <c r="Y341" t="s">
        <v>33</v>
      </c>
    </row>
    <row r="342" spans="1:25" x14ac:dyDescent="0.3">
      <c r="A342">
        <v>341</v>
      </c>
      <c r="B342" t="s">
        <v>281</v>
      </c>
      <c r="C342" t="s">
        <v>199</v>
      </c>
      <c r="D342" t="s">
        <v>89</v>
      </c>
      <c r="E342" t="s">
        <v>28</v>
      </c>
      <c r="F342">
        <v>1</v>
      </c>
      <c r="G342">
        <v>180</v>
      </c>
      <c r="H342">
        <v>180</v>
      </c>
      <c r="I342">
        <v>75</v>
      </c>
      <c r="J342">
        <v>75</v>
      </c>
      <c r="K342">
        <v>105</v>
      </c>
      <c r="L342" t="s">
        <v>44</v>
      </c>
      <c r="M342" t="s">
        <v>38</v>
      </c>
      <c r="N342" t="s">
        <v>90</v>
      </c>
      <c r="O342">
        <v>17.239999999999998</v>
      </c>
      <c r="P342">
        <v>20.07</v>
      </c>
      <c r="Q342">
        <v>5.14</v>
      </c>
      <c r="R342">
        <v>19.39</v>
      </c>
      <c r="S342">
        <v>3.47</v>
      </c>
      <c r="T342">
        <v>7.98</v>
      </c>
      <c r="U342">
        <v>7.99</v>
      </c>
      <c r="V342">
        <v>2.84</v>
      </c>
      <c r="W342">
        <v>20.88</v>
      </c>
      <c r="X342" t="s">
        <v>57</v>
      </c>
      <c r="Y342" t="s">
        <v>33</v>
      </c>
    </row>
    <row r="343" spans="1:25" x14ac:dyDescent="0.3">
      <c r="A343">
        <v>342</v>
      </c>
      <c r="B343" t="s">
        <v>394</v>
      </c>
      <c r="C343" t="s">
        <v>280</v>
      </c>
      <c r="D343" t="s">
        <v>62</v>
      </c>
      <c r="E343" t="s">
        <v>28</v>
      </c>
      <c r="F343">
        <v>1</v>
      </c>
      <c r="G343">
        <v>250</v>
      </c>
      <c r="H343">
        <v>250</v>
      </c>
      <c r="I343">
        <v>110</v>
      </c>
      <c r="J343">
        <v>110</v>
      </c>
      <c r="K343">
        <v>140</v>
      </c>
      <c r="L343" t="s">
        <v>55</v>
      </c>
      <c r="M343" t="s">
        <v>38</v>
      </c>
      <c r="N343" t="s">
        <v>81</v>
      </c>
      <c r="O343">
        <v>10.17</v>
      </c>
      <c r="P343">
        <v>35.18</v>
      </c>
      <c r="Q343">
        <v>16.559999999999999</v>
      </c>
      <c r="R343">
        <v>32.85</v>
      </c>
      <c r="S343">
        <v>1.83</v>
      </c>
      <c r="T343">
        <v>14.54</v>
      </c>
      <c r="U343">
        <v>4.51</v>
      </c>
      <c r="V343">
        <v>7.0000000000000007E-2</v>
      </c>
      <c r="W343">
        <v>24.29</v>
      </c>
      <c r="X343" t="s">
        <v>32</v>
      </c>
      <c r="Y343" t="s">
        <v>40</v>
      </c>
    </row>
    <row r="344" spans="1:25" x14ac:dyDescent="0.3">
      <c r="A344">
        <v>343</v>
      </c>
      <c r="B344" t="s">
        <v>426</v>
      </c>
      <c r="C344" t="s">
        <v>72</v>
      </c>
      <c r="D344" t="s">
        <v>89</v>
      </c>
      <c r="E344" t="s">
        <v>28</v>
      </c>
      <c r="F344">
        <v>3</v>
      </c>
      <c r="G344">
        <v>180</v>
      </c>
      <c r="H344">
        <v>540</v>
      </c>
      <c r="I344">
        <v>75</v>
      </c>
      <c r="J344">
        <v>225</v>
      </c>
      <c r="K344">
        <v>315</v>
      </c>
      <c r="L344" t="s">
        <v>44</v>
      </c>
      <c r="M344" t="s">
        <v>63</v>
      </c>
      <c r="N344" t="s">
        <v>81</v>
      </c>
      <c r="O344">
        <v>39.61</v>
      </c>
      <c r="P344">
        <v>28.75</v>
      </c>
      <c r="Q344">
        <v>10.35</v>
      </c>
      <c r="R344">
        <v>22.4</v>
      </c>
      <c r="S344">
        <v>0.09</v>
      </c>
      <c r="T344">
        <v>8.61</v>
      </c>
      <c r="U344">
        <v>1.93</v>
      </c>
      <c r="V344">
        <v>0.15</v>
      </c>
      <c r="W344">
        <v>203.11</v>
      </c>
      <c r="X344" t="s">
        <v>57</v>
      </c>
      <c r="Y344" t="s">
        <v>33</v>
      </c>
    </row>
    <row r="345" spans="1:25" x14ac:dyDescent="0.3">
      <c r="A345">
        <v>344</v>
      </c>
      <c r="B345" t="s">
        <v>219</v>
      </c>
      <c r="C345" t="s">
        <v>392</v>
      </c>
      <c r="D345" t="s">
        <v>27</v>
      </c>
      <c r="E345" t="s">
        <v>28</v>
      </c>
      <c r="F345">
        <v>4</v>
      </c>
      <c r="G345">
        <v>200</v>
      </c>
      <c r="H345">
        <v>800</v>
      </c>
      <c r="I345">
        <v>90</v>
      </c>
      <c r="J345">
        <v>360</v>
      </c>
      <c r="K345">
        <v>440</v>
      </c>
      <c r="L345" t="s">
        <v>86</v>
      </c>
      <c r="M345" t="s">
        <v>56</v>
      </c>
      <c r="N345" t="s">
        <v>39</v>
      </c>
      <c r="O345">
        <v>25.68</v>
      </c>
      <c r="P345">
        <v>41.17</v>
      </c>
      <c r="Q345">
        <v>5.23</v>
      </c>
      <c r="R345">
        <v>3.38</v>
      </c>
      <c r="S345">
        <v>4.45</v>
      </c>
      <c r="T345">
        <v>10.039999999999999</v>
      </c>
      <c r="U345">
        <v>1.1000000000000001</v>
      </c>
      <c r="V345">
        <v>0.78</v>
      </c>
      <c r="W345">
        <v>348.17</v>
      </c>
      <c r="X345" t="s">
        <v>66</v>
      </c>
      <c r="Y345" t="s">
        <v>33</v>
      </c>
    </row>
    <row r="346" spans="1:25" x14ac:dyDescent="0.3">
      <c r="A346">
        <v>345</v>
      </c>
      <c r="B346" t="s">
        <v>119</v>
      </c>
      <c r="C346" t="s">
        <v>114</v>
      </c>
      <c r="D346" t="s">
        <v>54</v>
      </c>
      <c r="E346" t="s">
        <v>28</v>
      </c>
      <c r="F346">
        <v>1</v>
      </c>
      <c r="G346">
        <v>120</v>
      </c>
      <c r="H346">
        <v>120</v>
      </c>
      <c r="I346">
        <v>50</v>
      </c>
      <c r="J346">
        <v>50</v>
      </c>
      <c r="K346">
        <v>70</v>
      </c>
      <c r="L346" t="s">
        <v>37</v>
      </c>
      <c r="M346" t="s">
        <v>45</v>
      </c>
      <c r="N346" t="s">
        <v>46</v>
      </c>
      <c r="O346">
        <v>35.32</v>
      </c>
      <c r="P346">
        <v>29.68</v>
      </c>
      <c r="Q346">
        <v>17.489999999999998</v>
      </c>
      <c r="R346">
        <v>14.86</v>
      </c>
      <c r="S346">
        <v>1.29</v>
      </c>
      <c r="T346">
        <v>11.16</v>
      </c>
      <c r="U346">
        <v>3.85</v>
      </c>
      <c r="V346">
        <v>1.05</v>
      </c>
      <c r="W346">
        <v>-44.7</v>
      </c>
      <c r="X346" t="s">
        <v>57</v>
      </c>
      <c r="Y346" t="s">
        <v>40</v>
      </c>
    </row>
    <row r="347" spans="1:25" x14ac:dyDescent="0.3">
      <c r="A347">
        <v>346</v>
      </c>
      <c r="B347" t="s">
        <v>126</v>
      </c>
      <c r="C347" t="s">
        <v>92</v>
      </c>
      <c r="D347" t="s">
        <v>43</v>
      </c>
      <c r="E347" t="s">
        <v>43</v>
      </c>
      <c r="F347">
        <v>2</v>
      </c>
      <c r="G347">
        <v>80</v>
      </c>
      <c r="H347">
        <v>160</v>
      </c>
      <c r="I347">
        <v>30</v>
      </c>
      <c r="J347">
        <v>60</v>
      </c>
      <c r="K347">
        <v>100</v>
      </c>
      <c r="L347" t="s">
        <v>37</v>
      </c>
      <c r="M347" t="s">
        <v>38</v>
      </c>
      <c r="N347" t="s">
        <v>51</v>
      </c>
      <c r="O347">
        <v>23.51</v>
      </c>
      <c r="P347">
        <v>46.06</v>
      </c>
      <c r="Q347">
        <v>10.67</v>
      </c>
      <c r="R347">
        <v>6.87</v>
      </c>
      <c r="S347">
        <v>2.54</v>
      </c>
      <c r="T347">
        <v>11.11</v>
      </c>
      <c r="U347">
        <v>1.1299999999999999</v>
      </c>
      <c r="V347">
        <v>2.34</v>
      </c>
      <c r="W347">
        <v>-4.2300000000000004</v>
      </c>
      <c r="X347" t="s">
        <v>66</v>
      </c>
      <c r="Y347" t="s">
        <v>33</v>
      </c>
    </row>
    <row r="348" spans="1:25" x14ac:dyDescent="0.3">
      <c r="A348">
        <v>347</v>
      </c>
      <c r="B348" t="s">
        <v>130</v>
      </c>
      <c r="C348" t="s">
        <v>427</v>
      </c>
      <c r="D348" t="s">
        <v>89</v>
      </c>
      <c r="E348" t="s">
        <v>28</v>
      </c>
      <c r="F348">
        <v>1</v>
      </c>
      <c r="G348">
        <v>180</v>
      </c>
      <c r="H348">
        <v>180</v>
      </c>
      <c r="I348">
        <v>75</v>
      </c>
      <c r="J348">
        <v>75</v>
      </c>
      <c r="K348">
        <v>105</v>
      </c>
      <c r="L348" t="s">
        <v>29</v>
      </c>
      <c r="M348" t="s">
        <v>38</v>
      </c>
      <c r="N348" t="s">
        <v>90</v>
      </c>
      <c r="O348">
        <v>28.27</v>
      </c>
      <c r="P348">
        <v>29.96</v>
      </c>
      <c r="Q348">
        <v>7.69</v>
      </c>
      <c r="R348">
        <v>14.87</v>
      </c>
      <c r="S348">
        <v>4.1100000000000003</v>
      </c>
      <c r="T348">
        <v>11.27</v>
      </c>
      <c r="U348">
        <v>5.75</v>
      </c>
      <c r="V348">
        <v>1.85</v>
      </c>
      <c r="W348">
        <v>1.23</v>
      </c>
      <c r="X348" t="s">
        <v>66</v>
      </c>
      <c r="Y348" t="s">
        <v>33</v>
      </c>
    </row>
    <row r="349" spans="1:25" x14ac:dyDescent="0.3">
      <c r="A349">
        <v>348</v>
      </c>
      <c r="B349" t="s">
        <v>213</v>
      </c>
      <c r="C349" t="s">
        <v>368</v>
      </c>
      <c r="D349" t="s">
        <v>62</v>
      </c>
      <c r="E349" t="s">
        <v>28</v>
      </c>
      <c r="F349">
        <v>1</v>
      </c>
      <c r="G349">
        <v>250</v>
      </c>
      <c r="H349">
        <v>250</v>
      </c>
      <c r="I349">
        <v>110</v>
      </c>
      <c r="J349">
        <v>110</v>
      </c>
      <c r="K349">
        <v>140</v>
      </c>
      <c r="L349" t="s">
        <v>29</v>
      </c>
      <c r="M349" t="s">
        <v>38</v>
      </c>
      <c r="N349" t="s">
        <v>46</v>
      </c>
      <c r="O349">
        <v>12.99</v>
      </c>
      <c r="P349">
        <v>38.35</v>
      </c>
      <c r="Q349">
        <v>6.07</v>
      </c>
      <c r="R349">
        <v>1.62</v>
      </c>
      <c r="S349">
        <v>3.73</v>
      </c>
      <c r="T349">
        <v>14.34</v>
      </c>
      <c r="U349">
        <v>6.45</v>
      </c>
      <c r="V349">
        <v>1.82</v>
      </c>
      <c r="W349">
        <v>54.63</v>
      </c>
      <c r="X349" t="s">
        <v>66</v>
      </c>
      <c r="Y349" t="s">
        <v>40</v>
      </c>
    </row>
    <row r="350" spans="1:25" x14ac:dyDescent="0.3">
      <c r="A350">
        <v>349</v>
      </c>
      <c r="B350" t="s">
        <v>300</v>
      </c>
      <c r="C350" t="s">
        <v>355</v>
      </c>
      <c r="D350" t="s">
        <v>43</v>
      </c>
      <c r="E350" t="s">
        <v>43</v>
      </c>
      <c r="F350">
        <v>1</v>
      </c>
      <c r="G350">
        <v>80</v>
      </c>
      <c r="H350">
        <v>80</v>
      </c>
      <c r="I350">
        <v>30</v>
      </c>
      <c r="J350">
        <v>30</v>
      </c>
      <c r="K350">
        <v>50</v>
      </c>
      <c r="L350" t="s">
        <v>37</v>
      </c>
      <c r="M350" t="s">
        <v>56</v>
      </c>
      <c r="N350" t="s">
        <v>90</v>
      </c>
      <c r="O350">
        <v>22.29</v>
      </c>
      <c r="P350">
        <v>17.12</v>
      </c>
      <c r="Q350">
        <v>10</v>
      </c>
      <c r="R350">
        <v>29.6</v>
      </c>
      <c r="S350">
        <v>4.4800000000000004</v>
      </c>
      <c r="T350">
        <v>9.16</v>
      </c>
      <c r="U350">
        <v>3.63</v>
      </c>
      <c r="V350">
        <v>0.66</v>
      </c>
      <c r="W350">
        <v>-46.94</v>
      </c>
      <c r="X350" t="s">
        <v>57</v>
      </c>
      <c r="Y350" t="s">
        <v>33</v>
      </c>
    </row>
    <row r="351" spans="1:25" x14ac:dyDescent="0.3">
      <c r="A351">
        <v>350</v>
      </c>
      <c r="B351" t="s">
        <v>346</v>
      </c>
      <c r="C351" t="s">
        <v>428</v>
      </c>
      <c r="D351" t="s">
        <v>54</v>
      </c>
      <c r="E351" t="s">
        <v>28</v>
      </c>
      <c r="F351">
        <v>1</v>
      </c>
      <c r="G351">
        <v>120</v>
      </c>
      <c r="H351">
        <v>120</v>
      </c>
      <c r="I351">
        <v>50</v>
      </c>
      <c r="J351">
        <v>50</v>
      </c>
      <c r="K351">
        <v>70</v>
      </c>
      <c r="L351" t="s">
        <v>37</v>
      </c>
      <c r="M351" t="s">
        <v>38</v>
      </c>
      <c r="N351" t="s">
        <v>51</v>
      </c>
      <c r="O351">
        <v>12.51</v>
      </c>
      <c r="P351">
        <v>57.56</v>
      </c>
      <c r="Q351">
        <v>10.16</v>
      </c>
      <c r="R351">
        <v>19.11</v>
      </c>
      <c r="S351">
        <v>4.53</v>
      </c>
      <c r="T351">
        <v>14.59</v>
      </c>
      <c r="U351">
        <v>1.03</v>
      </c>
      <c r="V351">
        <v>0.13</v>
      </c>
      <c r="W351">
        <v>-49.62</v>
      </c>
      <c r="X351" t="s">
        <v>66</v>
      </c>
      <c r="Y351" t="s">
        <v>40</v>
      </c>
    </row>
    <row r="352" spans="1:25" x14ac:dyDescent="0.3">
      <c r="A352">
        <v>351</v>
      </c>
      <c r="B352" t="s">
        <v>229</v>
      </c>
      <c r="C352" t="s">
        <v>357</v>
      </c>
      <c r="D352" t="s">
        <v>36</v>
      </c>
      <c r="E352" t="s">
        <v>28</v>
      </c>
      <c r="F352">
        <v>2</v>
      </c>
      <c r="G352">
        <v>220</v>
      </c>
      <c r="H352">
        <v>440</v>
      </c>
      <c r="I352">
        <v>100</v>
      </c>
      <c r="J352">
        <v>200</v>
      </c>
      <c r="K352">
        <v>240</v>
      </c>
      <c r="L352" t="s">
        <v>44</v>
      </c>
      <c r="M352" t="s">
        <v>38</v>
      </c>
      <c r="N352" t="s">
        <v>90</v>
      </c>
      <c r="O352">
        <v>18.72</v>
      </c>
      <c r="P352">
        <v>42.03</v>
      </c>
      <c r="Q352">
        <v>16.39</v>
      </c>
      <c r="R352">
        <v>3.14</v>
      </c>
      <c r="S352">
        <v>4.5</v>
      </c>
      <c r="T352">
        <v>2.84</v>
      </c>
      <c r="U352">
        <v>6.49</v>
      </c>
      <c r="V352">
        <v>2.88</v>
      </c>
      <c r="W352">
        <v>143.01</v>
      </c>
      <c r="X352" t="s">
        <v>57</v>
      </c>
      <c r="Y352" t="s">
        <v>40</v>
      </c>
    </row>
    <row r="353" spans="1:25" x14ac:dyDescent="0.3">
      <c r="A353">
        <v>352</v>
      </c>
      <c r="B353" t="s">
        <v>154</v>
      </c>
      <c r="C353" t="s">
        <v>254</v>
      </c>
      <c r="D353" t="s">
        <v>89</v>
      </c>
      <c r="E353" t="s">
        <v>28</v>
      </c>
      <c r="F353">
        <v>4</v>
      </c>
      <c r="G353">
        <v>180</v>
      </c>
      <c r="H353">
        <v>720</v>
      </c>
      <c r="I353">
        <v>75</v>
      </c>
      <c r="J353">
        <v>300</v>
      </c>
      <c r="K353">
        <v>420</v>
      </c>
      <c r="L353" t="s">
        <v>29</v>
      </c>
      <c r="M353" t="s">
        <v>45</v>
      </c>
      <c r="N353" t="s">
        <v>81</v>
      </c>
      <c r="O353">
        <v>21.54</v>
      </c>
      <c r="P353">
        <v>16.96</v>
      </c>
      <c r="Q353">
        <v>9.74</v>
      </c>
      <c r="R353">
        <v>19.34</v>
      </c>
      <c r="S353">
        <v>2.79</v>
      </c>
      <c r="T353">
        <v>3.51</v>
      </c>
      <c r="U353">
        <v>1.69</v>
      </c>
      <c r="V353">
        <v>2.2999999999999998</v>
      </c>
      <c r="W353">
        <v>342.13</v>
      </c>
      <c r="X353" t="s">
        <v>32</v>
      </c>
      <c r="Y353" t="s">
        <v>33</v>
      </c>
    </row>
    <row r="354" spans="1:25" x14ac:dyDescent="0.3">
      <c r="A354">
        <v>353</v>
      </c>
      <c r="B354" t="s">
        <v>303</v>
      </c>
      <c r="C354" t="s">
        <v>429</v>
      </c>
      <c r="D354" t="s">
        <v>89</v>
      </c>
      <c r="E354" t="s">
        <v>28</v>
      </c>
      <c r="F354">
        <v>4</v>
      </c>
      <c r="G354">
        <v>180</v>
      </c>
      <c r="H354">
        <v>720</v>
      </c>
      <c r="I354">
        <v>75</v>
      </c>
      <c r="J354">
        <v>300</v>
      </c>
      <c r="K354">
        <v>420</v>
      </c>
      <c r="L354" t="s">
        <v>86</v>
      </c>
      <c r="M354" t="s">
        <v>30</v>
      </c>
      <c r="N354" t="s">
        <v>31</v>
      </c>
      <c r="O354">
        <v>26.85</v>
      </c>
      <c r="P354">
        <v>45.62</v>
      </c>
      <c r="Q354">
        <v>6.03</v>
      </c>
      <c r="R354">
        <v>26.83</v>
      </c>
      <c r="S354">
        <v>1.1200000000000001</v>
      </c>
      <c r="T354">
        <v>8.44</v>
      </c>
      <c r="U354">
        <v>2.4</v>
      </c>
      <c r="V354">
        <v>2.46</v>
      </c>
      <c r="W354">
        <v>300.25</v>
      </c>
      <c r="X354" t="s">
        <v>32</v>
      </c>
      <c r="Y354" t="s">
        <v>40</v>
      </c>
    </row>
    <row r="355" spans="1:25" x14ac:dyDescent="0.3">
      <c r="A355">
        <v>354</v>
      </c>
      <c r="B355" t="s">
        <v>52</v>
      </c>
      <c r="C355" t="s">
        <v>118</v>
      </c>
      <c r="D355" t="s">
        <v>27</v>
      </c>
      <c r="E355" t="s">
        <v>28</v>
      </c>
      <c r="F355">
        <v>2</v>
      </c>
      <c r="G355">
        <v>200</v>
      </c>
      <c r="H355">
        <v>400</v>
      </c>
      <c r="I355">
        <v>90</v>
      </c>
      <c r="J355">
        <v>180</v>
      </c>
      <c r="K355">
        <v>220</v>
      </c>
      <c r="L355" t="s">
        <v>37</v>
      </c>
      <c r="M355" t="s">
        <v>38</v>
      </c>
      <c r="N355" t="s">
        <v>31</v>
      </c>
      <c r="O355">
        <v>29.83</v>
      </c>
      <c r="P355">
        <v>43.16</v>
      </c>
      <c r="Q355">
        <v>12.9</v>
      </c>
      <c r="R355">
        <v>24.61</v>
      </c>
      <c r="S355">
        <v>2.39</v>
      </c>
      <c r="T355">
        <v>11.67</v>
      </c>
      <c r="U355">
        <v>2.36</v>
      </c>
      <c r="V355">
        <v>0.17</v>
      </c>
      <c r="W355">
        <v>92.91</v>
      </c>
      <c r="X355" t="s">
        <v>57</v>
      </c>
      <c r="Y355" t="s">
        <v>40</v>
      </c>
    </row>
    <row r="356" spans="1:25" x14ac:dyDescent="0.3">
      <c r="A356">
        <v>355</v>
      </c>
      <c r="B356" t="s">
        <v>25</v>
      </c>
      <c r="C356" t="s">
        <v>430</v>
      </c>
      <c r="D356" t="s">
        <v>62</v>
      </c>
      <c r="E356" t="s">
        <v>28</v>
      </c>
      <c r="F356">
        <v>2</v>
      </c>
      <c r="G356">
        <v>250</v>
      </c>
      <c r="H356">
        <v>500</v>
      </c>
      <c r="I356">
        <v>110</v>
      </c>
      <c r="J356">
        <v>220</v>
      </c>
      <c r="K356">
        <v>280</v>
      </c>
      <c r="L356" t="s">
        <v>29</v>
      </c>
      <c r="M356" t="s">
        <v>30</v>
      </c>
      <c r="N356" t="s">
        <v>81</v>
      </c>
      <c r="O356">
        <v>34.950000000000003</v>
      </c>
      <c r="P356">
        <v>57.27</v>
      </c>
      <c r="Q356">
        <v>14.37</v>
      </c>
      <c r="R356">
        <v>4.01</v>
      </c>
      <c r="S356">
        <v>3.21</v>
      </c>
      <c r="T356">
        <v>5.76</v>
      </c>
      <c r="U356">
        <v>3.08</v>
      </c>
      <c r="V356">
        <v>1.89</v>
      </c>
      <c r="W356">
        <v>155.46</v>
      </c>
      <c r="X356" t="s">
        <v>57</v>
      </c>
      <c r="Y356" t="s">
        <v>40</v>
      </c>
    </row>
    <row r="357" spans="1:25" x14ac:dyDescent="0.3">
      <c r="A357">
        <v>356</v>
      </c>
      <c r="B357" t="s">
        <v>431</v>
      </c>
      <c r="C357" t="s">
        <v>270</v>
      </c>
      <c r="D357" t="s">
        <v>89</v>
      </c>
      <c r="E357" t="s">
        <v>28</v>
      </c>
      <c r="F357">
        <v>4</v>
      </c>
      <c r="G357">
        <v>180</v>
      </c>
      <c r="H357">
        <v>720</v>
      </c>
      <c r="I357">
        <v>75</v>
      </c>
      <c r="J357">
        <v>300</v>
      </c>
      <c r="K357">
        <v>420</v>
      </c>
      <c r="L357" t="s">
        <v>29</v>
      </c>
      <c r="M357" t="s">
        <v>38</v>
      </c>
      <c r="N357" t="s">
        <v>81</v>
      </c>
      <c r="O357">
        <v>23.7</v>
      </c>
      <c r="P357">
        <v>59.55</v>
      </c>
      <c r="Q357">
        <v>16.02</v>
      </c>
      <c r="R357">
        <v>11.45</v>
      </c>
      <c r="S357">
        <v>1.37</v>
      </c>
      <c r="T357">
        <v>10.81</v>
      </c>
      <c r="U357">
        <v>1.9</v>
      </c>
      <c r="V357">
        <v>2.0499999999999998</v>
      </c>
      <c r="W357">
        <v>293.14999999999998</v>
      </c>
      <c r="X357" t="s">
        <v>32</v>
      </c>
      <c r="Y357" t="s">
        <v>33</v>
      </c>
    </row>
    <row r="358" spans="1:25" x14ac:dyDescent="0.3">
      <c r="A358">
        <v>357</v>
      </c>
      <c r="B358" t="s">
        <v>231</v>
      </c>
      <c r="C358" t="s">
        <v>432</v>
      </c>
      <c r="D358" t="s">
        <v>109</v>
      </c>
      <c r="E358" t="s">
        <v>50</v>
      </c>
      <c r="F358">
        <v>4</v>
      </c>
      <c r="G358">
        <v>150</v>
      </c>
      <c r="H358">
        <v>600</v>
      </c>
      <c r="I358">
        <v>70</v>
      </c>
      <c r="J358">
        <v>280</v>
      </c>
      <c r="K358">
        <v>320</v>
      </c>
      <c r="L358" t="s">
        <v>37</v>
      </c>
      <c r="M358" t="s">
        <v>56</v>
      </c>
      <c r="N358" t="s">
        <v>51</v>
      </c>
      <c r="O358">
        <v>37.76</v>
      </c>
      <c r="P358">
        <v>21.07</v>
      </c>
      <c r="Q358">
        <v>8.6300000000000008</v>
      </c>
      <c r="R358">
        <v>19.97</v>
      </c>
      <c r="S358">
        <v>1.3</v>
      </c>
      <c r="T358">
        <v>13.08</v>
      </c>
      <c r="U358">
        <v>6.91</v>
      </c>
      <c r="V358">
        <v>2.37</v>
      </c>
      <c r="W358">
        <v>208.91</v>
      </c>
      <c r="X358" t="s">
        <v>66</v>
      </c>
      <c r="Y358" t="s">
        <v>40</v>
      </c>
    </row>
    <row r="359" spans="1:25" x14ac:dyDescent="0.3">
      <c r="A359">
        <v>358</v>
      </c>
      <c r="B359" t="s">
        <v>214</v>
      </c>
      <c r="C359" t="s">
        <v>411</v>
      </c>
      <c r="D359" t="s">
        <v>36</v>
      </c>
      <c r="E359" t="s">
        <v>28</v>
      </c>
      <c r="F359">
        <v>3</v>
      </c>
      <c r="G359">
        <v>220</v>
      </c>
      <c r="H359">
        <v>660</v>
      </c>
      <c r="I359">
        <v>100</v>
      </c>
      <c r="J359">
        <v>300</v>
      </c>
      <c r="K359">
        <v>360</v>
      </c>
      <c r="L359" t="s">
        <v>44</v>
      </c>
      <c r="M359" t="s">
        <v>63</v>
      </c>
      <c r="N359" t="s">
        <v>31</v>
      </c>
      <c r="O359">
        <v>27.62</v>
      </c>
      <c r="P359">
        <v>33.56</v>
      </c>
      <c r="Q359">
        <v>17.12</v>
      </c>
      <c r="R359">
        <v>6.73</v>
      </c>
      <c r="S359">
        <v>2.02</v>
      </c>
      <c r="T359">
        <v>2.38</v>
      </c>
      <c r="U359">
        <v>5.09</v>
      </c>
      <c r="V359">
        <v>1.78</v>
      </c>
      <c r="W359">
        <v>263.7</v>
      </c>
      <c r="X359" t="s">
        <v>66</v>
      </c>
      <c r="Y359" t="s">
        <v>40</v>
      </c>
    </row>
    <row r="360" spans="1:25" x14ac:dyDescent="0.3">
      <c r="A360">
        <v>359</v>
      </c>
      <c r="B360" t="s">
        <v>317</v>
      </c>
      <c r="C360" t="s">
        <v>169</v>
      </c>
      <c r="D360" t="s">
        <v>109</v>
      </c>
      <c r="E360" t="s">
        <v>50</v>
      </c>
      <c r="F360">
        <v>2</v>
      </c>
      <c r="G360">
        <v>150</v>
      </c>
      <c r="H360">
        <v>300</v>
      </c>
      <c r="I360">
        <v>70</v>
      </c>
      <c r="J360">
        <v>140</v>
      </c>
      <c r="K360">
        <v>160</v>
      </c>
      <c r="L360" t="s">
        <v>86</v>
      </c>
      <c r="M360" t="s">
        <v>63</v>
      </c>
      <c r="N360" t="s">
        <v>90</v>
      </c>
      <c r="O360">
        <v>19.87</v>
      </c>
      <c r="P360">
        <v>58.53</v>
      </c>
      <c r="Q360">
        <v>7.01</v>
      </c>
      <c r="R360">
        <v>0.01</v>
      </c>
      <c r="S360">
        <v>3.97</v>
      </c>
      <c r="T360">
        <v>14.59</v>
      </c>
      <c r="U360">
        <v>5.92</v>
      </c>
      <c r="V360">
        <v>0.92</v>
      </c>
      <c r="W360">
        <v>49.18</v>
      </c>
      <c r="X360" t="s">
        <v>32</v>
      </c>
      <c r="Y360" t="s">
        <v>40</v>
      </c>
    </row>
    <row r="361" spans="1:25" x14ac:dyDescent="0.3">
      <c r="A361">
        <v>360</v>
      </c>
      <c r="B361" t="s">
        <v>303</v>
      </c>
      <c r="C361" t="s">
        <v>185</v>
      </c>
      <c r="D361" t="s">
        <v>89</v>
      </c>
      <c r="E361" t="s">
        <v>28</v>
      </c>
      <c r="F361">
        <v>4</v>
      </c>
      <c r="G361">
        <v>180</v>
      </c>
      <c r="H361">
        <v>720</v>
      </c>
      <c r="I361">
        <v>75</v>
      </c>
      <c r="J361">
        <v>300</v>
      </c>
      <c r="K361">
        <v>420</v>
      </c>
      <c r="L361" t="s">
        <v>37</v>
      </c>
      <c r="M361" t="s">
        <v>63</v>
      </c>
      <c r="N361" t="s">
        <v>81</v>
      </c>
      <c r="O361">
        <v>14.4</v>
      </c>
      <c r="P361">
        <v>32.53</v>
      </c>
      <c r="Q361">
        <v>8.02</v>
      </c>
      <c r="R361">
        <v>16.39</v>
      </c>
      <c r="S361">
        <v>0.53</v>
      </c>
      <c r="T361">
        <v>7.95</v>
      </c>
      <c r="U361">
        <v>1.55</v>
      </c>
      <c r="V361">
        <v>0.7</v>
      </c>
      <c r="W361">
        <v>337.93</v>
      </c>
      <c r="X361" t="s">
        <v>57</v>
      </c>
      <c r="Y361" t="s">
        <v>40</v>
      </c>
    </row>
    <row r="362" spans="1:25" x14ac:dyDescent="0.3">
      <c r="A362">
        <v>361</v>
      </c>
      <c r="B362" t="s">
        <v>69</v>
      </c>
      <c r="C362" t="s">
        <v>405</v>
      </c>
      <c r="D362" t="s">
        <v>54</v>
      </c>
      <c r="E362" t="s">
        <v>28</v>
      </c>
      <c r="F362">
        <v>1</v>
      </c>
      <c r="G362">
        <v>120</v>
      </c>
      <c r="H362">
        <v>120</v>
      </c>
      <c r="I362">
        <v>50</v>
      </c>
      <c r="J362">
        <v>50</v>
      </c>
      <c r="K362">
        <v>70</v>
      </c>
      <c r="L362" t="s">
        <v>37</v>
      </c>
      <c r="M362" t="s">
        <v>38</v>
      </c>
      <c r="N362" t="s">
        <v>46</v>
      </c>
      <c r="O362">
        <v>11.41</v>
      </c>
      <c r="P362">
        <v>23.3</v>
      </c>
      <c r="Q362">
        <v>6.07</v>
      </c>
      <c r="R362">
        <v>25.47</v>
      </c>
      <c r="S362">
        <v>4.29</v>
      </c>
      <c r="T362">
        <v>13.17</v>
      </c>
      <c r="U362">
        <v>2.3199999999999998</v>
      </c>
      <c r="V362">
        <v>2.17</v>
      </c>
      <c r="W362">
        <v>-18.2</v>
      </c>
      <c r="X362" t="s">
        <v>32</v>
      </c>
      <c r="Y362" t="s">
        <v>33</v>
      </c>
    </row>
    <row r="363" spans="1:25" x14ac:dyDescent="0.3">
      <c r="A363">
        <v>362</v>
      </c>
      <c r="B363" t="s">
        <v>433</v>
      </c>
      <c r="C363" t="s">
        <v>434</v>
      </c>
      <c r="D363" t="s">
        <v>36</v>
      </c>
      <c r="E363" t="s">
        <v>28</v>
      </c>
      <c r="F363">
        <v>2</v>
      </c>
      <c r="G363">
        <v>220</v>
      </c>
      <c r="H363">
        <v>440</v>
      </c>
      <c r="I363">
        <v>100</v>
      </c>
      <c r="J363">
        <v>200</v>
      </c>
      <c r="K363">
        <v>240</v>
      </c>
      <c r="L363" t="s">
        <v>44</v>
      </c>
      <c r="M363" t="s">
        <v>38</v>
      </c>
      <c r="N363" t="s">
        <v>31</v>
      </c>
      <c r="O363">
        <v>39.44</v>
      </c>
      <c r="P363">
        <v>41.94</v>
      </c>
      <c r="Q363">
        <v>8.73</v>
      </c>
      <c r="R363">
        <v>11.4</v>
      </c>
      <c r="S363">
        <v>0.48</v>
      </c>
      <c r="T363">
        <v>14.74</v>
      </c>
      <c r="U363">
        <v>5.17</v>
      </c>
      <c r="V363">
        <v>2.71</v>
      </c>
      <c r="W363">
        <v>115.39</v>
      </c>
      <c r="X363" t="s">
        <v>66</v>
      </c>
      <c r="Y363" t="s">
        <v>40</v>
      </c>
    </row>
    <row r="364" spans="1:25" x14ac:dyDescent="0.3">
      <c r="A364">
        <v>363</v>
      </c>
      <c r="B364" t="s">
        <v>209</v>
      </c>
      <c r="C364" t="s">
        <v>358</v>
      </c>
      <c r="D364" t="s">
        <v>36</v>
      </c>
      <c r="E364" t="s">
        <v>28</v>
      </c>
      <c r="F364">
        <v>3</v>
      </c>
      <c r="G364">
        <v>220</v>
      </c>
      <c r="H364">
        <v>660</v>
      </c>
      <c r="I364">
        <v>100</v>
      </c>
      <c r="J364">
        <v>300</v>
      </c>
      <c r="K364">
        <v>360</v>
      </c>
      <c r="L364" t="s">
        <v>37</v>
      </c>
      <c r="M364" t="s">
        <v>63</v>
      </c>
      <c r="N364" t="s">
        <v>90</v>
      </c>
      <c r="O364">
        <v>31.93</v>
      </c>
      <c r="P364">
        <v>15.21</v>
      </c>
      <c r="Q364">
        <v>11.36</v>
      </c>
      <c r="R364">
        <v>23.61</v>
      </c>
      <c r="S364">
        <v>0.56999999999999995</v>
      </c>
      <c r="T364">
        <v>11.6</v>
      </c>
      <c r="U364">
        <v>6.81</v>
      </c>
      <c r="V364">
        <v>2.84</v>
      </c>
      <c r="W364">
        <v>256.07</v>
      </c>
      <c r="X364" t="s">
        <v>66</v>
      </c>
      <c r="Y364" t="s">
        <v>33</v>
      </c>
    </row>
    <row r="365" spans="1:25" x14ac:dyDescent="0.3">
      <c r="A365">
        <v>364</v>
      </c>
      <c r="B365" t="s">
        <v>379</v>
      </c>
      <c r="C365" t="s">
        <v>254</v>
      </c>
      <c r="D365" t="s">
        <v>89</v>
      </c>
      <c r="E365" t="s">
        <v>28</v>
      </c>
      <c r="F365">
        <v>1</v>
      </c>
      <c r="G365">
        <v>180</v>
      </c>
      <c r="H365">
        <v>180</v>
      </c>
      <c r="I365">
        <v>75</v>
      </c>
      <c r="J365">
        <v>75</v>
      </c>
      <c r="K365">
        <v>105</v>
      </c>
      <c r="L365" t="s">
        <v>55</v>
      </c>
      <c r="M365" t="s">
        <v>30</v>
      </c>
      <c r="N365" t="s">
        <v>81</v>
      </c>
      <c r="O365">
        <v>31.08</v>
      </c>
      <c r="P365">
        <v>30.97</v>
      </c>
      <c r="Q365">
        <v>19.93</v>
      </c>
      <c r="R365">
        <v>10.48</v>
      </c>
      <c r="S365">
        <v>0.65</v>
      </c>
      <c r="T365">
        <v>12.09</v>
      </c>
      <c r="U365">
        <v>5.39</v>
      </c>
      <c r="V365">
        <v>1.74</v>
      </c>
      <c r="W365">
        <v>-7.33</v>
      </c>
      <c r="X365" t="s">
        <v>57</v>
      </c>
      <c r="Y365" t="s">
        <v>33</v>
      </c>
    </row>
    <row r="366" spans="1:25" x14ac:dyDescent="0.3">
      <c r="A366">
        <v>365</v>
      </c>
      <c r="B366" t="s">
        <v>161</v>
      </c>
      <c r="C366" t="s">
        <v>435</v>
      </c>
      <c r="D366" t="s">
        <v>109</v>
      </c>
      <c r="E366" t="s">
        <v>50</v>
      </c>
      <c r="F366">
        <v>3</v>
      </c>
      <c r="G366">
        <v>150</v>
      </c>
      <c r="H366">
        <v>450</v>
      </c>
      <c r="I366">
        <v>70</v>
      </c>
      <c r="J366">
        <v>210</v>
      </c>
      <c r="K366">
        <v>240</v>
      </c>
      <c r="L366" t="s">
        <v>37</v>
      </c>
      <c r="M366" t="s">
        <v>30</v>
      </c>
      <c r="N366" t="s">
        <v>81</v>
      </c>
      <c r="O366">
        <v>22.68</v>
      </c>
      <c r="P366">
        <v>58.86</v>
      </c>
      <c r="Q366">
        <v>10.38</v>
      </c>
      <c r="R366">
        <v>31.34</v>
      </c>
      <c r="S366">
        <v>4.2699999999999996</v>
      </c>
      <c r="T366">
        <v>4.8099999999999996</v>
      </c>
      <c r="U366">
        <v>4.96</v>
      </c>
      <c r="V366">
        <v>1.96</v>
      </c>
      <c r="W366">
        <v>100.74</v>
      </c>
      <c r="X366" t="s">
        <v>32</v>
      </c>
      <c r="Y366" t="s">
        <v>40</v>
      </c>
    </row>
    <row r="367" spans="1:25" x14ac:dyDescent="0.3">
      <c r="A367">
        <v>366</v>
      </c>
      <c r="B367" t="s">
        <v>404</v>
      </c>
      <c r="C367" t="s">
        <v>436</v>
      </c>
      <c r="D367" t="s">
        <v>27</v>
      </c>
      <c r="E367" t="s">
        <v>28</v>
      </c>
      <c r="F367">
        <v>2</v>
      </c>
      <c r="G367">
        <v>200</v>
      </c>
      <c r="H367">
        <v>400</v>
      </c>
      <c r="I367">
        <v>90</v>
      </c>
      <c r="J367">
        <v>180</v>
      </c>
      <c r="K367">
        <v>220</v>
      </c>
      <c r="L367" t="s">
        <v>29</v>
      </c>
      <c r="M367" t="s">
        <v>38</v>
      </c>
      <c r="N367" t="s">
        <v>90</v>
      </c>
      <c r="O367">
        <v>36.729999999999997</v>
      </c>
      <c r="P367">
        <v>42.13</v>
      </c>
      <c r="Q367">
        <v>11.34</v>
      </c>
      <c r="R367">
        <v>3.95</v>
      </c>
      <c r="S367">
        <v>0.95</v>
      </c>
      <c r="T367">
        <v>8.7200000000000006</v>
      </c>
      <c r="U367">
        <v>3.24</v>
      </c>
      <c r="V367">
        <v>0.74</v>
      </c>
      <c r="W367">
        <v>112.2</v>
      </c>
      <c r="X367" t="s">
        <v>66</v>
      </c>
      <c r="Y367" t="s">
        <v>40</v>
      </c>
    </row>
    <row r="368" spans="1:25" x14ac:dyDescent="0.3">
      <c r="A368">
        <v>367</v>
      </c>
      <c r="B368" t="s">
        <v>170</v>
      </c>
      <c r="C368" t="s">
        <v>437</v>
      </c>
      <c r="D368" t="s">
        <v>27</v>
      </c>
      <c r="E368" t="s">
        <v>28</v>
      </c>
      <c r="F368">
        <v>2</v>
      </c>
      <c r="G368">
        <v>200</v>
      </c>
      <c r="H368">
        <v>400</v>
      </c>
      <c r="I368">
        <v>90</v>
      </c>
      <c r="J368">
        <v>180</v>
      </c>
      <c r="K368">
        <v>220</v>
      </c>
      <c r="L368" t="s">
        <v>55</v>
      </c>
      <c r="M368" t="s">
        <v>63</v>
      </c>
      <c r="N368" t="s">
        <v>51</v>
      </c>
      <c r="O368">
        <v>28.28</v>
      </c>
      <c r="P368">
        <v>52.49</v>
      </c>
      <c r="Q368">
        <v>7.05</v>
      </c>
      <c r="R368">
        <v>31.78</v>
      </c>
      <c r="S368">
        <v>2.84</v>
      </c>
      <c r="T368">
        <v>4.1900000000000004</v>
      </c>
      <c r="U368">
        <v>5.16</v>
      </c>
      <c r="V368">
        <v>0.05</v>
      </c>
      <c r="W368">
        <v>88.16</v>
      </c>
      <c r="X368" t="s">
        <v>57</v>
      </c>
      <c r="Y368" t="s">
        <v>40</v>
      </c>
    </row>
    <row r="369" spans="1:25" x14ac:dyDescent="0.3">
      <c r="A369">
        <v>368</v>
      </c>
      <c r="B369" t="s">
        <v>60</v>
      </c>
      <c r="C369" t="s">
        <v>270</v>
      </c>
      <c r="D369" t="s">
        <v>54</v>
      </c>
      <c r="E369" t="s">
        <v>28</v>
      </c>
      <c r="F369">
        <v>3</v>
      </c>
      <c r="G369">
        <v>120</v>
      </c>
      <c r="H369">
        <v>360</v>
      </c>
      <c r="I369">
        <v>50</v>
      </c>
      <c r="J369">
        <v>150</v>
      </c>
      <c r="K369">
        <v>210</v>
      </c>
      <c r="L369" t="s">
        <v>44</v>
      </c>
      <c r="M369" t="s">
        <v>38</v>
      </c>
      <c r="N369" t="s">
        <v>46</v>
      </c>
      <c r="O369">
        <v>26.9</v>
      </c>
      <c r="P369">
        <v>23.78</v>
      </c>
      <c r="Q369">
        <v>9.9</v>
      </c>
      <c r="R369">
        <v>11.61</v>
      </c>
      <c r="S369">
        <v>4.95</v>
      </c>
      <c r="T369">
        <v>10.83</v>
      </c>
      <c r="U369">
        <v>5.86</v>
      </c>
      <c r="V369">
        <v>2.2200000000000002</v>
      </c>
      <c r="W369">
        <v>113.95</v>
      </c>
      <c r="X369" t="s">
        <v>32</v>
      </c>
      <c r="Y369" t="s">
        <v>33</v>
      </c>
    </row>
    <row r="370" spans="1:25" x14ac:dyDescent="0.3">
      <c r="A370">
        <v>369</v>
      </c>
      <c r="B370" t="s">
        <v>233</v>
      </c>
      <c r="C370" t="s">
        <v>438</v>
      </c>
      <c r="D370" t="s">
        <v>109</v>
      </c>
      <c r="E370" t="s">
        <v>50</v>
      </c>
      <c r="F370">
        <v>4</v>
      </c>
      <c r="G370">
        <v>150</v>
      </c>
      <c r="H370">
        <v>600</v>
      </c>
      <c r="I370">
        <v>70</v>
      </c>
      <c r="J370">
        <v>280</v>
      </c>
      <c r="K370">
        <v>320</v>
      </c>
      <c r="L370" t="s">
        <v>37</v>
      </c>
      <c r="M370" t="s">
        <v>30</v>
      </c>
      <c r="N370" t="s">
        <v>46</v>
      </c>
      <c r="O370">
        <v>18.78</v>
      </c>
      <c r="P370">
        <v>28.5</v>
      </c>
      <c r="Q370">
        <v>19.13</v>
      </c>
      <c r="R370">
        <v>13.71</v>
      </c>
      <c r="S370">
        <v>0.32</v>
      </c>
      <c r="T370">
        <v>5.19</v>
      </c>
      <c r="U370">
        <v>4.21</v>
      </c>
      <c r="V370">
        <v>1.81</v>
      </c>
      <c r="W370">
        <v>228.35</v>
      </c>
      <c r="X370" t="s">
        <v>32</v>
      </c>
      <c r="Y370" t="s">
        <v>40</v>
      </c>
    </row>
    <row r="371" spans="1:25" x14ac:dyDescent="0.3">
      <c r="A371">
        <v>370</v>
      </c>
      <c r="B371" t="s">
        <v>135</v>
      </c>
      <c r="C371" t="s">
        <v>439</v>
      </c>
      <c r="D371" t="s">
        <v>89</v>
      </c>
      <c r="E371" t="s">
        <v>28</v>
      </c>
      <c r="F371">
        <v>3</v>
      </c>
      <c r="G371">
        <v>180</v>
      </c>
      <c r="H371">
        <v>540</v>
      </c>
      <c r="I371">
        <v>75</v>
      </c>
      <c r="J371">
        <v>225</v>
      </c>
      <c r="K371">
        <v>315</v>
      </c>
      <c r="L371" t="s">
        <v>86</v>
      </c>
      <c r="M371" t="s">
        <v>38</v>
      </c>
      <c r="N371" t="s">
        <v>90</v>
      </c>
      <c r="O371">
        <v>35.369999999999997</v>
      </c>
      <c r="P371">
        <v>15.33</v>
      </c>
      <c r="Q371">
        <v>8.5399999999999991</v>
      </c>
      <c r="R371">
        <v>19.440000000000001</v>
      </c>
      <c r="S371">
        <v>2.48</v>
      </c>
      <c r="T371">
        <v>10.86</v>
      </c>
      <c r="U371">
        <v>3.37</v>
      </c>
      <c r="V371">
        <v>0.14000000000000001</v>
      </c>
      <c r="W371">
        <v>219.47</v>
      </c>
      <c r="X371" t="s">
        <v>66</v>
      </c>
      <c r="Y371" t="s">
        <v>40</v>
      </c>
    </row>
    <row r="372" spans="1:25" x14ac:dyDescent="0.3">
      <c r="A372">
        <v>371</v>
      </c>
      <c r="B372" t="s">
        <v>79</v>
      </c>
      <c r="C372" t="s">
        <v>260</v>
      </c>
      <c r="D372" t="s">
        <v>109</v>
      </c>
      <c r="E372" t="s">
        <v>50</v>
      </c>
      <c r="F372">
        <v>4</v>
      </c>
      <c r="G372">
        <v>150</v>
      </c>
      <c r="H372">
        <v>600</v>
      </c>
      <c r="I372">
        <v>70</v>
      </c>
      <c r="J372">
        <v>280</v>
      </c>
      <c r="K372">
        <v>320</v>
      </c>
      <c r="L372" t="s">
        <v>29</v>
      </c>
      <c r="M372" t="s">
        <v>63</v>
      </c>
      <c r="N372" t="s">
        <v>51</v>
      </c>
      <c r="O372">
        <v>28.93</v>
      </c>
      <c r="P372">
        <v>48.83</v>
      </c>
      <c r="Q372">
        <v>19.46</v>
      </c>
      <c r="R372">
        <v>10.64</v>
      </c>
      <c r="S372">
        <v>1.44</v>
      </c>
      <c r="T372">
        <v>5.44</v>
      </c>
      <c r="U372">
        <v>2.95</v>
      </c>
      <c r="V372">
        <v>1.61</v>
      </c>
      <c r="W372">
        <v>200.7</v>
      </c>
      <c r="X372" t="s">
        <v>66</v>
      </c>
      <c r="Y372" t="s">
        <v>40</v>
      </c>
    </row>
    <row r="373" spans="1:25" x14ac:dyDescent="0.3">
      <c r="A373">
        <v>372</v>
      </c>
      <c r="B373" t="s">
        <v>238</v>
      </c>
      <c r="C373" t="s">
        <v>125</v>
      </c>
      <c r="D373" t="s">
        <v>109</v>
      </c>
      <c r="E373" t="s">
        <v>50</v>
      </c>
      <c r="F373">
        <v>3</v>
      </c>
      <c r="G373">
        <v>150</v>
      </c>
      <c r="H373">
        <v>450</v>
      </c>
      <c r="I373">
        <v>70</v>
      </c>
      <c r="J373">
        <v>210</v>
      </c>
      <c r="K373">
        <v>240</v>
      </c>
      <c r="L373" t="s">
        <v>29</v>
      </c>
      <c r="M373" t="s">
        <v>38</v>
      </c>
      <c r="N373" t="s">
        <v>39</v>
      </c>
      <c r="O373">
        <v>15.32</v>
      </c>
      <c r="P373">
        <v>54.39</v>
      </c>
      <c r="Q373">
        <v>18.38</v>
      </c>
      <c r="R373">
        <v>15.78</v>
      </c>
      <c r="S373">
        <v>4.0599999999999996</v>
      </c>
      <c r="T373">
        <v>7.72</v>
      </c>
      <c r="U373">
        <v>5.55</v>
      </c>
      <c r="V373">
        <v>0.99</v>
      </c>
      <c r="W373">
        <v>117.81</v>
      </c>
      <c r="X373" t="s">
        <v>66</v>
      </c>
      <c r="Y373" t="s">
        <v>33</v>
      </c>
    </row>
    <row r="374" spans="1:25" x14ac:dyDescent="0.3">
      <c r="A374">
        <v>373</v>
      </c>
      <c r="B374" t="s">
        <v>383</v>
      </c>
      <c r="C374" t="s">
        <v>331</v>
      </c>
      <c r="D374" t="s">
        <v>43</v>
      </c>
      <c r="E374" t="s">
        <v>43</v>
      </c>
      <c r="F374">
        <v>4</v>
      </c>
      <c r="G374">
        <v>80</v>
      </c>
      <c r="H374">
        <v>320</v>
      </c>
      <c r="I374">
        <v>30</v>
      </c>
      <c r="J374">
        <v>120</v>
      </c>
      <c r="K374">
        <v>200</v>
      </c>
      <c r="L374" t="s">
        <v>55</v>
      </c>
      <c r="M374" t="s">
        <v>45</v>
      </c>
      <c r="N374" t="s">
        <v>31</v>
      </c>
      <c r="O374">
        <v>38.840000000000003</v>
      </c>
      <c r="P374">
        <v>49.55</v>
      </c>
      <c r="Q374">
        <v>12.83</v>
      </c>
      <c r="R374">
        <v>30.65</v>
      </c>
      <c r="S374">
        <v>1.94</v>
      </c>
      <c r="T374">
        <v>2.25</v>
      </c>
      <c r="U374">
        <v>7.37</v>
      </c>
      <c r="V374">
        <v>1.1200000000000001</v>
      </c>
      <c r="W374">
        <v>55.45</v>
      </c>
      <c r="X374" t="s">
        <v>32</v>
      </c>
      <c r="Y374" t="s">
        <v>40</v>
      </c>
    </row>
    <row r="375" spans="1:25" x14ac:dyDescent="0.3">
      <c r="A375">
        <v>374</v>
      </c>
      <c r="B375" t="s">
        <v>440</v>
      </c>
      <c r="C375" t="s">
        <v>420</v>
      </c>
      <c r="D375" t="s">
        <v>27</v>
      </c>
      <c r="E375" t="s">
        <v>28</v>
      </c>
      <c r="F375">
        <v>4</v>
      </c>
      <c r="G375">
        <v>200</v>
      </c>
      <c r="H375">
        <v>800</v>
      </c>
      <c r="I375">
        <v>90</v>
      </c>
      <c r="J375">
        <v>360</v>
      </c>
      <c r="K375">
        <v>440</v>
      </c>
      <c r="L375" t="s">
        <v>55</v>
      </c>
      <c r="M375" t="s">
        <v>56</v>
      </c>
      <c r="N375" t="s">
        <v>90</v>
      </c>
      <c r="O375">
        <v>38.81</v>
      </c>
      <c r="P375">
        <v>47.98</v>
      </c>
      <c r="Q375">
        <v>9.7899999999999991</v>
      </c>
      <c r="R375">
        <v>6.46</v>
      </c>
      <c r="S375">
        <v>2.15</v>
      </c>
      <c r="T375">
        <v>14.35</v>
      </c>
      <c r="U375">
        <v>1.83</v>
      </c>
      <c r="V375">
        <v>2.86</v>
      </c>
      <c r="W375">
        <v>315.77</v>
      </c>
      <c r="X375" t="s">
        <v>66</v>
      </c>
      <c r="Y375" t="s">
        <v>33</v>
      </c>
    </row>
    <row r="376" spans="1:25" x14ac:dyDescent="0.3">
      <c r="A376">
        <v>375</v>
      </c>
      <c r="B376" t="s">
        <v>155</v>
      </c>
      <c r="C376" t="s">
        <v>412</v>
      </c>
      <c r="D376" t="s">
        <v>89</v>
      </c>
      <c r="E376" t="s">
        <v>28</v>
      </c>
      <c r="F376">
        <v>3</v>
      </c>
      <c r="G376">
        <v>180</v>
      </c>
      <c r="H376">
        <v>540</v>
      </c>
      <c r="I376">
        <v>75</v>
      </c>
      <c r="J376">
        <v>225</v>
      </c>
      <c r="K376">
        <v>315</v>
      </c>
      <c r="L376" t="s">
        <v>29</v>
      </c>
      <c r="M376" t="s">
        <v>56</v>
      </c>
      <c r="N376" t="s">
        <v>90</v>
      </c>
      <c r="O376">
        <v>14.71</v>
      </c>
      <c r="P376">
        <v>23.9</v>
      </c>
      <c r="Q376">
        <v>19.170000000000002</v>
      </c>
      <c r="R376">
        <v>11.48</v>
      </c>
      <c r="S376">
        <v>4.72</v>
      </c>
      <c r="T376">
        <v>13.77</v>
      </c>
      <c r="U376">
        <v>2.4</v>
      </c>
      <c r="V376">
        <v>0.76</v>
      </c>
      <c r="W376">
        <v>224.09</v>
      </c>
      <c r="X376" t="s">
        <v>32</v>
      </c>
      <c r="Y376" t="s">
        <v>33</v>
      </c>
    </row>
    <row r="377" spans="1:25" x14ac:dyDescent="0.3">
      <c r="A377">
        <v>376</v>
      </c>
      <c r="B377" t="s">
        <v>320</v>
      </c>
      <c r="C377" t="s">
        <v>224</v>
      </c>
      <c r="D377" t="s">
        <v>89</v>
      </c>
      <c r="E377" t="s">
        <v>28</v>
      </c>
      <c r="F377">
        <v>1</v>
      </c>
      <c r="G377">
        <v>180</v>
      </c>
      <c r="H377">
        <v>180</v>
      </c>
      <c r="I377">
        <v>75</v>
      </c>
      <c r="J377">
        <v>75</v>
      </c>
      <c r="K377">
        <v>105</v>
      </c>
      <c r="L377" t="s">
        <v>86</v>
      </c>
      <c r="M377" t="s">
        <v>45</v>
      </c>
      <c r="N377" t="s">
        <v>81</v>
      </c>
      <c r="O377">
        <v>31.57</v>
      </c>
      <c r="P377">
        <v>16.63</v>
      </c>
      <c r="Q377">
        <v>17.79</v>
      </c>
      <c r="R377">
        <v>25.75</v>
      </c>
      <c r="S377">
        <v>2.86</v>
      </c>
      <c r="T377">
        <v>6.25</v>
      </c>
      <c r="U377">
        <v>6.75</v>
      </c>
      <c r="V377">
        <v>2.15</v>
      </c>
      <c r="W377">
        <v>-4.75</v>
      </c>
      <c r="X377" t="s">
        <v>66</v>
      </c>
      <c r="Y377" t="s">
        <v>40</v>
      </c>
    </row>
    <row r="378" spans="1:25" x14ac:dyDescent="0.3">
      <c r="A378">
        <v>377</v>
      </c>
      <c r="B378" t="s">
        <v>69</v>
      </c>
      <c r="C378" t="s">
        <v>92</v>
      </c>
      <c r="D378" t="s">
        <v>27</v>
      </c>
      <c r="E378" t="s">
        <v>28</v>
      </c>
      <c r="F378">
        <v>3</v>
      </c>
      <c r="G378">
        <v>200</v>
      </c>
      <c r="H378">
        <v>600</v>
      </c>
      <c r="I378">
        <v>90</v>
      </c>
      <c r="J378">
        <v>270</v>
      </c>
      <c r="K378">
        <v>330</v>
      </c>
      <c r="L378" t="s">
        <v>44</v>
      </c>
      <c r="M378" t="s">
        <v>63</v>
      </c>
      <c r="N378" t="s">
        <v>31</v>
      </c>
      <c r="O378">
        <v>35.33</v>
      </c>
      <c r="P378">
        <v>15.94</v>
      </c>
      <c r="Q378">
        <v>10.34</v>
      </c>
      <c r="R378">
        <v>15.68</v>
      </c>
      <c r="S378">
        <v>4.37</v>
      </c>
      <c r="T378">
        <v>4.63</v>
      </c>
      <c r="U378">
        <v>5.08</v>
      </c>
      <c r="V378">
        <v>2.62</v>
      </c>
      <c r="W378">
        <v>236.01</v>
      </c>
      <c r="X378" t="s">
        <v>66</v>
      </c>
      <c r="Y378" t="s">
        <v>33</v>
      </c>
    </row>
    <row r="379" spans="1:25" x14ac:dyDescent="0.3">
      <c r="A379">
        <v>378</v>
      </c>
      <c r="B379" t="s">
        <v>170</v>
      </c>
      <c r="C379" t="s">
        <v>357</v>
      </c>
      <c r="D379" t="s">
        <v>109</v>
      </c>
      <c r="E379" t="s">
        <v>50</v>
      </c>
      <c r="F379">
        <v>1</v>
      </c>
      <c r="G379">
        <v>150</v>
      </c>
      <c r="H379">
        <v>150</v>
      </c>
      <c r="I379">
        <v>70</v>
      </c>
      <c r="J379">
        <v>70</v>
      </c>
      <c r="K379">
        <v>80</v>
      </c>
      <c r="L379" t="s">
        <v>44</v>
      </c>
      <c r="M379" t="s">
        <v>63</v>
      </c>
      <c r="N379" t="s">
        <v>46</v>
      </c>
      <c r="O379">
        <v>26.32</v>
      </c>
      <c r="P379">
        <v>49.53</v>
      </c>
      <c r="Q379">
        <v>14.34</v>
      </c>
      <c r="R379">
        <v>24.67</v>
      </c>
      <c r="S379">
        <v>0.99</v>
      </c>
      <c r="T379">
        <v>4.3499999999999996</v>
      </c>
      <c r="U379">
        <v>6.07</v>
      </c>
      <c r="V379">
        <v>0.86</v>
      </c>
      <c r="W379">
        <v>-47.13</v>
      </c>
      <c r="X379" t="s">
        <v>57</v>
      </c>
      <c r="Y379" t="s">
        <v>40</v>
      </c>
    </row>
    <row r="380" spans="1:25" x14ac:dyDescent="0.3">
      <c r="A380">
        <v>379</v>
      </c>
      <c r="B380" t="s">
        <v>107</v>
      </c>
      <c r="C380" t="s">
        <v>441</v>
      </c>
      <c r="D380" t="s">
        <v>36</v>
      </c>
      <c r="E380" t="s">
        <v>28</v>
      </c>
      <c r="F380">
        <v>2</v>
      </c>
      <c r="G380">
        <v>220</v>
      </c>
      <c r="H380">
        <v>440</v>
      </c>
      <c r="I380">
        <v>100</v>
      </c>
      <c r="J380">
        <v>200</v>
      </c>
      <c r="K380">
        <v>240</v>
      </c>
      <c r="L380" t="s">
        <v>44</v>
      </c>
      <c r="M380" t="s">
        <v>30</v>
      </c>
      <c r="N380" t="s">
        <v>31</v>
      </c>
      <c r="O380">
        <v>14.26</v>
      </c>
      <c r="P380">
        <v>23.91</v>
      </c>
      <c r="Q380">
        <v>11</v>
      </c>
      <c r="R380">
        <v>3.15</v>
      </c>
      <c r="S380">
        <v>2.29</v>
      </c>
      <c r="T380">
        <v>3.48</v>
      </c>
      <c r="U380">
        <v>2.77</v>
      </c>
      <c r="V380">
        <v>0.83</v>
      </c>
      <c r="W380">
        <v>178.31</v>
      </c>
      <c r="X380" t="s">
        <v>32</v>
      </c>
      <c r="Y380" t="s">
        <v>33</v>
      </c>
    </row>
    <row r="381" spans="1:25" x14ac:dyDescent="0.3">
      <c r="A381">
        <v>380</v>
      </c>
      <c r="B381" t="s">
        <v>404</v>
      </c>
      <c r="C381" t="s">
        <v>78</v>
      </c>
      <c r="D381" t="s">
        <v>109</v>
      </c>
      <c r="E381" t="s">
        <v>50</v>
      </c>
      <c r="F381">
        <v>2</v>
      </c>
      <c r="G381">
        <v>150</v>
      </c>
      <c r="H381">
        <v>300</v>
      </c>
      <c r="I381">
        <v>70</v>
      </c>
      <c r="J381">
        <v>140</v>
      </c>
      <c r="K381">
        <v>160</v>
      </c>
      <c r="L381" t="s">
        <v>37</v>
      </c>
      <c r="M381" t="s">
        <v>30</v>
      </c>
      <c r="N381" t="s">
        <v>46</v>
      </c>
      <c r="O381">
        <v>17.190000000000001</v>
      </c>
      <c r="P381">
        <v>52.72</v>
      </c>
      <c r="Q381">
        <v>9.32</v>
      </c>
      <c r="R381">
        <v>4.3099999999999996</v>
      </c>
      <c r="S381">
        <v>3.93</v>
      </c>
      <c r="T381">
        <v>5.57</v>
      </c>
      <c r="U381">
        <v>1.54</v>
      </c>
      <c r="V381">
        <v>1.73</v>
      </c>
      <c r="W381">
        <v>63.69</v>
      </c>
      <c r="X381" t="s">
        <v>66</v>
      </c>
      <c r="Y381" t="s">
        <v>40</v>
      </c>
    </row>
    <row r="382" spans="1:25" x14ac:dyDescent="0.3">
      <c r="A382">
        <v>381</v>
      </c>
      <c r="B382" t="s">
        <v>307</v>
      </c>
      <c r="C382" t="s">
        <v>329</v>
      </c>
      <c r="D382" t="s">
        <v>54</v>
      </c>
      <c r="E382" t="s">
        <v>28</v>
      </c>
      <c r="F382">
        <v>2</v>
      </c>
      <c r="G382">
        <v>120</v>
      </c>
      <c r="H382">
        <v>240</v>
      </c>
      <c r="I382">
        <v>50</v>
      </c>
      <c r="J382">
        <v>100</v>
      </c>
      <c r="K382">
        <v>140</v>
      </c>
      <c r="L382" t="s">
        <v>86</v>
      </c>
      <c r="M382" t="s">
        <v>63</v>
      </c>
      <c r="N382" t="s">
        <v>51</v>
      </c>
      <c r="O382">
        <v>16.28</v>
      </c>
      <c r="P382">
        <v>59.51</v>
      </c>
      <c r="Q382">
        <v>6.83</v>
      </c>
      <c r="R382">
        <v>27.99</v>
      </c>
      <c r="S382">
        <v>3.62</v>
      </c>
      <c r="T382">
        <v>14.22</v>
      </c>
      <c r="U382">
        <v>3.78</v>
      </c>
      <c r="V382">
        <v>1.88</v>
      </c>
      <c r="W382">
        <v>5.89</v>
      </c>
      <c r="X382" t="s">
        <v>66</v>
      </c>
      <c r="Y382" t="s">
        <v>33</v>
      </c>
    </row>
    <row r="383" spans="1:25" x14ac:dyDescent="0.3">
      <c r="A383">
        <v>382</v>
      </c>
      <c r="B383" t="s">
        <v>216</v>
      </c>
      <c r="C383" t="s">
        <v>186</v>
      </c>
      <c r="D383" t="s">
        <v>43</v>
      </c>
      <c r="E383" t="s">
        <v>43</v>
      </c>
      <c r="F383">
        <v>2</v>
      </c>
      <c r="G383">
        <v>80</v>
      </c>
      <c r="H383">
        <v>160</v>
      </c>
      <c r="I383">
        <v>30</v>
      </c>
      <c r="J383">
        <v>60</v>
      </c>
      <c r="K383">
        <v>100</v>
      </c>
      <c r="L383" t="s">
        <v>37</v>
      </c>
      <c r="M383" t="s">
        <v>45</v>
      </c>
      <c r="N383" t="s">
        <v>90</v>
      </c>
      <c r="O383">
        <v>38.86</v>
      </c>
      <c r="P383">
        <v>33.39</v>
      </c>
      <c r="Q383">
        <v>15.62</v>
      </c>
      <c r="R383">
        <v>3.58</v>
      </c>
      <c r="S383">
        <v>1.26</v>
      </c>
      <c r="T383">
        <v>11.26</v>
      </c>
      <c r="U383">
        <v>6.85</v>
      </c>
      <c r="V383">
        <v>0.35</v>
      </c>
      <c r="W383">
        <v>-11.17</v>
      </c>
      <c r="X383" t="s">
        <v>66</v>
      </c>
      <c r="Y383" t="s">
        <v>40</v>
      </c>
    </row>
    <row r="384" spans="1:25" x14ac:dyDescent="0.3">
      <c r="A384">
        <v>383</v>
      </c>
      <c r="B384" t="s">
        <v>266</v>
      </c>
      <c r="C384" t="s">
        <v>442</v>
      </c>
      <c r="D384" t="s">
        <v>62</v>
      </c>
      <c r="E384" t="s">
        <v>28</v>
      </c>
      <c r="F384">
        <v>3</v>
      </c>
      <c r="G384">
        <v>250</v>
      </c>
      <c r="H384">
        <v>750</v>
      </c>
      <c r="I384">
        <v>110</v>
      </c>
      <c r="J384">
        <v>330</v>
      </c>
      <c r="K384">
        <v>420</v>
      </c>
      <c r="L384" t="s">
        <v>55</v>
      </c>
      <c r="M384" t="s">
        <v>30</v>
      </c>
      <c r="N384" t="s">
        <v>46</v>
      </c>
      <c r="O384">
        <v>11.5</v>
      </c>
      <c r="P384">
        <v>19.48</v>
      </c>
      <c r="Q384">
        <v>10.24</v>
      </c>
      <c r="R384">
        <v>0.21</v>
      </c>
      <c r="S384">
        <v>2.36</v>
      </c>
      <c r="T384">
        <v>11.82</v>
      </c>
      <c r="U384">
        <v>1.9</v>
      </c>
      <c r="V384">
        <v>0.65</v>
      </c>
      <c r="W384">
        <v>361.84</v>
      </c>
      <c r="X384" t="s">
        <v>66</v>
      </c>
      <c r="Y384" t="s">
        <v>40</v>
      </c>
    </row>
    <row r="385" spans="1:25" x14ac:dyDescent="0.3">
      <c r="A385">
        <v>384</v>
      </c>
      <c r="B385" t="s">
        <v>25</v>
      </c>
      <c r="C385" t="s">
        <v>359</v>
      </c>
      <c r="D385" t="s">
        <v>54</v>
      </c>
      <c r="E385" t="s">
        <v>28</v>
      </c>
      <c r="F385">
        <v>3</v>
      </c>
      <c r="G385">
        <v>120</v>
      </c>
      <c r="H385">
        <v>360</v>
      </c>
      <c r="I385">
        <v>50</v>
      </c>
      <c r="J385">
        <v>150</v>
      </c>
      <c r="K385">
        <v>210</v>
      </c>
      <c r="L385" t="s">
        <v>86</v>
      </c>
      <c r="M385" t="s">
        <v>56</v>
      </c>
      <c r="N385" t="s">
        <v>81</v>
      </c>
      <c r="O385">
        <v>19.53</v>
      </c>
      <c r="P385">
        <v>38.29</v>
      </c>
      <c r="Q385">
        <v>13.91</v>
      </c>
      <c r="R385">
        <v>17.61</v>
      </c>
      <c r="S385">
        <v>2.96</v>
      </c>
      <c r="T385">
        <v>10.6</v>
      </c>
      <c r="U385">
        <v>2.7</v>
      </c>
      <c r="V385">
        <v>1.63</v>
      </c>
      <c r="W385">
        <v>102.77</v>
      </c>
      <c r="X385" t="s">
        <v>66</v>
      </c>
      <c r="Y385" t="s">
        <v>40</v>
      </c>
    </row>
    <row r="386" spans="1:25" x14ac:dyDescent="0.3">
      <c r="A386">
        <v>385</v>
      </c>
      <c r="B386" t="s">
        <v>97</v>
      </c>
      <c r="C386" t="s">
        <v>443</v>
      </c>
      <c r="D386" t="s">
        <v>62</v>
      </c>
      <c r="E386" t="s">
        <v>28</v>
      </c>
      <c r="F386">
        <v>2</v>
      </c>
      <c r="G386">
        <v>250</v>
      </c>
      <c r="H386">
        <v>500</v>
      </c>
      <c r="I386">
        <v>110</v>
      </c>
      <c r="J386">
        <v>220</v>
      </c>
      <c r="K386">
        <v>280</v>
      </c>
      <c r="L386" t="s">
        <v>37</v>
      </c>
      <c r="M386" t="s">
        <v>63</v>
      </c>
      <c r="N386" t="s">
        <v>81</v>
      </c>
      <c r="O386">
        <v>10.58</v>
      </c>
      <c r="P386">
        <v>54.34</v>
      </c>
      <c r="Q386">
        <v>17.82</v>
      </c>
      <c r="R386">
        <v>24.4</v>
      </c>
      <c r="S386">
        <v>0.56999999999999995</v>
      </c>
      <c r="T386">
        <v>3.14</v>
      </c>
      <c r="U386">
        <v>1.99</v>
      </c>
      <c r="V386">
        <v>2.66</v>
      </c>
      <c r="W386">
        <v>164.5</v>
      </c>
      <c r="X386" t="s">
        <v>66</v>
      </c>
      <c r="Y386" t="s">
        <v>40</v>
      </c>
    </row>
    <row r="387" spans="1:25" x14ac:dyDescent="0.3">
      <c r="A387">
        <v>386</v>
      </c>
      <c r="B387" t="s">
        <v>300</v>
      </c>
      <c r="C387" t="s">
        <v>411</v>
      </c>
      <c r="D387" t="s">
        <v>27</v>
      </c>
      <c r="E387" t="s">
        <v>28</v>
      </c>
      <c r="F387">
        <v>1</v>
      </c>
      <c r="G387">
        <v>200</v>
      </c>
      <c r="H387">
        <v>200</v>
      </c>
      <c r="I387">
        <v>90</v>
      </c>
      <c r="J387">
        <v>90</v>
      </c>
      <c r="K387">
        <v>110</v>
      </c>
      <c r="L387" t="s">
        <v>37</v>
      </c>
      <c r="M387" t="s">
        <v>45</v>
      </c>
      <c r="N387" t="s">
        <v>81</v>
      </c>
      <c r="O387">
        <v>14.89</v>
      </c>
      <c r="P387">
        <v>17.47</v>
      </c>
      <c r="Q387">
        <v>19</v>
      </c>
      <c r="R387">
        <v>20.98</v>
      </c>
      <c r="S387">
        <v>0.43</v>
      </c>
      <c r="T387">
        <v>13.16</v>
      </c>
      <c r="U387">
        <v>3.77</v>
      </c>
      <c r="V387">
        <v>2.62</v>
      </c>
      <c r="W387">
        <v>17.68</v>
      </c>
      <c r="X387" t="s">
        <v>32</v>
      </c>
      <c r="Y387" t="s">
        <v>40</v>
      </c>
    </row>
    <row r="388" spans="1:25" x14ac:dyDescent="0.3">
      <c r="A388">
        <v>387</v>
      </c>
      <c r="B388" t="s">
        <v>444</v>
      </c>
      <c r="C388" t="s">
        <v>283</v>
      </c>
      <c r="D388" t="s">
        <v>27</v>
      </c>
      <c r="E388" t="s">
        <v>28</v>
      </c>
      <c r="F388">
        <v>3</v>
      </c>
      <c r="G388">
        <v>200</v>
      </c>
      <c r="H388">
        <v>600</v>
      </c>
      <c r="I388">
        <v>90</v>
      </c>
      <c r="J388">
        <v>270</v>
      </c>
      <c r="K388">
        <v>330</v>
      </c>
      <c r="L388" t="s">
        <v>86</v>
      </c>
      <c r="M388" t="s">
        <v>63</v>
      </c>
      <c r="N388" t="s">
        <v>31</v>
      </c>
      <c r="O388">
        <v>19.829999999999998</v>
      </c>
      <c r="P388">
        <v>37.880000000000003</v>
      </c>
      <c r="Q388">
        <v>5.59</v>
      </c>
      <c r="R388">
        <v>28.8</v>
      </c>
      <c r="S388">
        <v>4.2</v>
      </c>
      <c r="T388">
        <v>2.54</v>
      </c>
      <c r="U388">
        <v>4.54</v>
      </c>
      <c r="V388">
        <v>0.09</v>
      </c>
      <c r="W388">
        <v>226.53</v>
      </c>
      <c r="X388" t="s">
        <v>57</v>
      </c>
      <c r="Y388" t="s">
        <v>40</v>
      </c>
    </row>
    <row r="389" spans="1:25" x14ac:dyDescent="0.3">
      <c r="A389">
        <v>388</v>
      </c>
      <c r="B389" t="s">
        <v>264</v>
      </c>
      <c r="C389" t="s">
        <v>445</v>
      </c>
      <c r="D389" t="s">
        <v>27</v>
      </c>
      <c r="E389" t="s">
        <v>28</v>
      </c>
      <c r="F389">
        <v>1</v>
      </c>
      <c r="G389">
        <v>200</v>
      </c>
      <c r="H389">
        <v>200</v>
      </c>
      <c r="I389">
        <v>90</v>
      </c>
      <c r="J389">
        <v>90</v>
      </c>
      <c r="K389">
        <v>110</v>
      </c>
      <c r="L389" t="s">
        <v>29</v>
      </c>
      <c r="M389" t="s">
        <v>56</v>
      </c>
      <c r="N389" t="s">
        <v>39</v>
      </c>
      <c r="O389">
        <v>34.06</v>
      </c>
      <c r="P389">
        <v>31.99</v>
      </c>
      <c r="Q389">
        <v>16.5</v>
      </c>
      <c r="R389">
        <v>7.34</v>
      </c>
      <c r="S389">
        <v>1.23</v>
      </c>
      <c r="T389">
        <v>5.28</v>
      </c>
      <c r="U389">
        <v>2.52</v>
      </c>
      <c r="V389">
        <v>1.75</v>
      </c>
      <c r="W389">
        <v>9.33</v>
      </c>
      <c r="X389" t="s">
        <v>32</v>
      </c>
      <c r="Y389" t="s">
        <v>33</v>
      </c>
    </row>
    <row r="390" spans="1:25" x14ac:dyDescent="0.3">
      <c r="A390">
        <v>389</v>
      </c>
      <c r="B390" t="s">
        <v>182</v>
      </c>
      <c r="C390" t="s">
        <v>406</v>
      </c>
      <c r="D390" t="s">
        <v>54</v>
      </c>
      <c r="E390" t="s">
        <v>28</v>
      </c>
      <c r="F390">
        <v>4</v>
      </c>
      <c r="G390">
        <v>120</v>
      </c>
      <c r="H390">
        <v>480</v>
      </c>
      <c r="I390">
        <v>50</v>
      </c>
      <c r="J390">
        <v>200</v>
      </c>
      <c r="K390">
        <v>280</v>
      </c>
      <c r="L390" t="s">
        <v>29</v>
      </c>
      <c r="M390" t="s">
        <v>45</v>
      </c>
      <c r="N390" t="s">
        <v>39</v>
      </c>
      <c r="O390">
        <v>18.760000000000002</v>
      </c>
      <c r="P390">
        <v>51.96</v>
      </c>
      <c r="Q390">
        <v>17.53</v>
      </c>
      <c r="R390">
        <v>27.11</v>
      </c>
      <c r="S390">
        <v>2.63</v>
      </c>
      <c r="T390">
        <v>14.86</v>
      </c>
      <c r="U390">
        <v>7.16</v>
      </c>
      <c r="V390">
        <v>1.93</v>
      </c>
      <c r="W390">
        <v>138.06</v>
      </c>
      <c r="X390" t="s">
        <v>66</v>
      </c>
      <c r="Y390" t="s">
        <v>40</v>
      </c>
    </row>
    <row r="391" spans="1:25" x14ac:dyDescent="0.3">
      <c r="A391">
        <v>390</v>
      </c>
      <c r="B391" t="s">
        <v>285</v>
      </c>
      <c r="C391" t="s">
        <v>102</v>
      </c>
      <c r="D391" t="s">
        <v>36</v>
      </c>
      <c r="E391" t="s">
        <v>28</v>
      </c>
      <c r="F391">
        <v>3</v>
      </c>
      <c r="G391">
        <v>220</v>
      </c>
      <c r="H391">
        <v>660</v>
      </c>
      <c r="I391">
        <v>100</v>
      </c>
      <c r="J391">
        <v>300</v>
      </c>
      <c r="K391">
        <v>360</v>
      </c>
      <c r="L391" t="s">
        <v>55</v>
      </c>
      <c r="M391" t="s">
        <v>30</v>
      </c>
      <c r="N391" t="s">
        <v>39</v>
      </c>
      <c r="O391">
        <v>24.7</v>
      </c>
      <c r="P391">
        <v>57.39</v>
      </c>
      <c r="Q391">
        <v>19.239999999999998</v>
      </c>
      <c r="R391">
        <v>27.47</v>
      </c>
      <c r="S391">
        <v>1.96</v>
      </c>
      <c r="T391">
        <v>5</v>
      </c>
      <c r="U391">
        <v>6.36</v>
      </c>
      <c r="V391">
        <v>2.2400000000000002</v>
      </c>
      <c r="W391">
        <v>215.64</v>
      </c>
      <c r="X391" t="s">
        <v>32</v>
      </c>
      <c r="Y391" t="s">
        <v>33</v>
      </c>
    </row>
    <row r="392" spans="1:25" x14ac:dyDescent="0.3">
      <c r="A392">
        <v>391</v>
      </c>
      <c r="B392" t="s">
        <v>225</v>
      </c>
      <c r="C392" t="s">
        <v>428</v>
      </c>
      <c r="D392" t="s">
        <v>27</v>
      </c>
      <c r="E392" t="s">
        <v>28</v>
      </c>
      <c r="F392">
        <v>2</v>
      </c>
      <c r="G392">
        <v>200</v>
      </c>
      <c r="H392">
        <v>400</v>
      </c>
      <c r="I392">
        <v>90</v>
      </c>
      <c r="J392">
        <v>180</v>
      </c>
      <c r="K392">
        <v>220</v>
      </c>
      <c r="L392" t="s">
        <v>86</v>
      </c>
      <c r="M392" t="s">
        <v>56</v>
      </c>
      <c r="N392" t="s">
        <v>39</v>
      </c>
      <c r="O392">
        <v>23.2</v>
      </c>
      <c r="P392">
        <v>39.39</v>
      </c>
      <c r="Q392">
        <v>18.27</v>
      </c>
      <c r="R392">
        <v>17.260000000000002</v>
      </c>
      <c r="S392">
        <v>2.7</v>
      </c>
      <c r="T392">
        <v>3.52</v>
      </c>
      <c r="U392">
        <v>5.89</v>
      </c>
      <c r="V392">
        <v>0.91</v>
      </c>
      <c r="W392">
        <v>108.86</v>
      </c>
      <c r="X392" t="s">
        <v>57</v>
      </c>
      <c r="Y392" t="s">
        <v>40</v>
      </c>
    </row>
    <row r="393" spans="1:25" x14ac:dyDescent="0.3">
      <c r="A393">
        <v>392</v>
      </c>
      <c r="B393" t="s">
        <v>203</v>
      </c>
      <c r="C393" t="s">
        <v>163</v>
      </c>
      <c r="D393" t="s">
        <v>109</v>
      </c>
      <c r="E393" t="s">
        <v>50</v>
      </c>
      <c r="F393">
        <v>4</v>
      </c>
      <c r="G393">
        <v>150</v>
      </c>
      <c r="H393">
        <v>600</v>
      </c>
      <c r="I393">
        <v>70</v>
      </c>
      <c r="J393">
        <v>280</v>
      </c>
      <c r="K393">
        <v>320</v>
      </c>
      <c r="L393" t="s">
        <v>55</v>
      </c>
      <c r="M393" t="s">
        <v>30</v>
      </c>
      <c r="N393" t="s">
        <v>39</v>
      </c>
      <c r="O393">
        <v>17.260000000000002</v>
      </c>
      <c r="P393">
        <v>15.24</v>
      </c>
      <c r="Q393">
        <v>12.75</v>
      </c>
      <c r="R393">
        <v>26.88</v>
      </c>
      <c r="S393">
        <v>0.76</v>
      </c>
      <c r="T393">
        <v>3.65</v>
      </c>
      <c r="U393">
        <v>2.52</v>
      </c>
      <c r="V393">
        <v>1.21</v>
      </c>
      <c r="W393">
        <v>239.73</v>
      </c>
      <c r="X393" t="s">
        <v>57</v>
      </c>
      <c r="Y393" t="s">
        <v>33</v>
      </c>
    </row>
    <row r="394" spans="1:25" x14ac:dyDescent="0.3">
      <c r="A394">
        <v>393</v>
      </c>
      <c r="B394" t="s">
        <v>91</v>
      </c>
      <c r="C394" t="s">
        <v>267</v>
      </c>
      <c r="D394" t="s">
        <v>62</v>
      </c>
      <c r="E394" t="s">
        <v>28</v>
      </c>
      <c r="F394">
        <v>4</v>
      </c>
      <c r="G394">
        <v>250</v>
      </c>
      <c r="H394">
        <v>1000</v>
      </c>
      <c r="I394">
        <v>110</v>
      </c>
      <c r="J394">
        <v>440</v>
      </c>
      <c r="K394">
        <v>560</v>
      </c>
      <c r="L394" t="s">
        <v>44</v>
      </c>
      <c r="M394" t="s">
        <v>30</v>
      </c>
      <c r="N394" t="s">
        <v>90</v>
      </c>
      <c r="O394">
        <v>39.119999999999997</v>
      </c>
      <c r="P394">
        <v>51.35</v>
      </c>
      <c r="Q394">
        <v>9.25</v>
      </c>
      <c r="R394">
        <v>13.54</v>
      </c>
      <c r="S394">
        <v>4.63</v>
      </c>
      <c r="T394">
        <v>3.79</v>
      </c>
      <c r="U394">
        <v>5.26</v>
      </c>
      <c r="V394">
        <v>0.23</v>
      </c>
      <c r="W394">
        <v>432.83</v>
      </c>
      <c r="X394" t="s">
        <v>57</v>
      </c>
      <c r="Y394" t="s">
        <v>33</v>
      </c>
    </row>
    <row r="395" spans="1:25" x14ac:dyDescent="0.3">
      <c r="A395">
        <v>394</v>
      </c>
      <c r="B395" t="s">
        <v>205</v>
      </c>
      <c r="C395" t="s">
        <v>122</v>
      </c>
      <c r="D395" t="s">
        <v>49</v>
      </c>
      <c r="E395" t="s">
        <v>50</v>
      </c>
      <c r="F395">
        <v>3</v>
      </c>
      <c r="G395">
        <v>180</v>
      </c>
      <c r="H395">
        <v>540</v>
      </c>
      <c r="I395">
        <v>90</v>
      </c>
      <c r="J395">
        <v>270</v>
      </c>
      <c r="K395">
        <v>270</v>
      </c>
      <c r="L395" t="s">
        <v>55</v>
      </c>
      <c r="M395" t="s">
        <v>56</v>
      </c>
      <c r="N395" t="s">
        <v>90</v>
      </c>
      <c r="O395">
        <v>32.840000000000003</v>
      </c>
      <c r="P395">
        <v>25.14</v>
      </c>
      <c r="Q395">
        <v>18.329999999999998</v>
      </c>
      <c r="R395">
        <v>28.03</v>
      </c>
      <c r="S395">
        <v>0.82</v>
      </c>
      <c r="T395">
        <v>6.77</v>
      </c>
      <c r="U395">
        <v>2.59</v>
      </c>
      <c r="V395">
        <v>0.94</v>
      </c>
      <c r="W395">
        <v>154.54</v>
      </c>
      <c r="X395" t="s">
        <v>66</v>
      </c>
      <c r="Y395" t="s">
        <v>33</v>
      </c>
    </row>
    <row r="396" spans="1:25" x14ac:dyDescent="0.3">
      <c r="A396">
        <v>395</v>
      </c>
      <c r="B396" t="s">
        <v>143</v>
      </c>
      <c r="C396" t="s">
        <v>367</v>
      </c>
      <c r="D396" t="s">
        <v>49</v>
      </c>
      <c r="E396" t="s">
        <v>50</v>
      </c>
      <c r="F396">
        <v>2</v>
      </c>
      <c r="G396">
        <v>180</v>
      </c>
      <c r="H396">
        <v>360</v>
      </c>
      <c r="I396">
        <v>90</v>
      </c>
      <c r="J396">
        <v>180</v>
      </c>
      <c r="K396">
        <v>180</v>
      </c>
      <c r="L396" t="s">
        <v>55</v>
      </c>
      <c r="M396" t="s">
        <v>56</v>
      </c>
      <c r="N396" t="s">
        <v>46</v>
      </c>
      <c r="O396">
        <v>37.21</v>
      </c>
      <c r="P396">
        <v>43.47</v>
      </c>
      <c r="Q396">
        <v>18.649999999999999</v>
      </c>
      <c r="R396">
        <v>8.42</v>
      </c>
      <c r="S396">
        <v>4.67</v>
      </c>
      <c r="T396">
        <v>4.38</v>
      </c>
      <c r="U396">
        <v>7.28</v>
      </c>
      <c r="V396">
        <v>0.84</v>
      </c>
      <c r="W396">
        <v>55.08</v>
      </c>
      <c r="X396" t="s">
        <v>57</v>
      </c>
      <c r="Y396" t="s">
        <v>33</v>
      </c>
    </row>
    <row r="397" spans="1:25" x14ac:dyDescent="0.3">
      <c r="A397">
        <v>396</v>
      </c>
      <c r="B397" t="s">
        <v>52</v>
      </c>
      <c r="C397" t="s">
        <v>446</v>
      </c>
      <c r="D397" t="s">
        <v>54</v>
      </c>
      <c r="E397" t="s">
        <v>28</v>
      </c>
      <c r="F397">
        <v>3</v>
      </c>
      <c r="G397">
        <v>120</v>
      </c>
      <c r="H397">
        <v>360</v>
      </c>
      <c r="I397">
        <v>50</v>
      </c>
      <c r="J397">
        <v>150</v>
      </c>
      <c r="K397">
        <v>210</v>
      </c>
      <c r="L397" t="s">
        <v>55</v>
      </c>
      <c r="M397" t="s">
        <v>56</v>
      </c>
      <c r="N397" t="s">
        <v>46</v>
      </c>
      <c r="O397">
        <v>29.84</v>
      </c>
      <c r="P397">
        <v>34.42</v>
      </c>
      <c r="Q397">
        <v>16.920000000000002</v>
      </c>
      <c r="R397">
        <v>22.28</v>
      </c>
      <c r="S397">
        <v>2.13</v>
      </c>
      <c r="T397">
        <v>13.69</v>
      </c>
      <c r="U397">
        <v>7.55</v>
      </c>
      <c r="V397">
        <v>2.69</v>
      </c>
      <c r="W397">
        <v>80.48</v>
      </c>
      <c r="X397" t="s">
        <v>57</v>
      </c>
      <c r="Y397" t="s">
        <v>33</v>
      </c>
    </row>
    <row r="398" spans="1:25" x14ac:dyDescent="0.3">
      <c r="A398">
        <v>397</v>
      </c>
      <c r="B398" t="s">
        <v>41</v>
      </c>
      <c r="C398" t="s">
        <v>59</v>
      </c>
      <c r="D398" t="s">
        <v>27</v>
      </c>
      <c r="E398" t="s">
        <v>28</v>
      </c>
      <c r="F398">
        <v>4</v>
      </c>
      <c r="G398">
        <v>200</v>
      </c>
      <c r="H398">
        <v>800</v>
      </c>
      <c r="I398">
        <v>90</v>
      </c>
      <c r="J398">
        <v>360</v>
      </c>
      <c r="K398">
        <v>440</v>
      </c>
      <c r="L398" t="s">
        <v>44</v>
      </c>
      <c r="M398" t="s">
        <v>30</v>
      </c>
      <c r="N398" t="s">
        <v>46</v>
      </c>
      <c r="O398">
        <v>22.85</v>
      </c>
      <c r="P398">
        <v>17.399999999999999</v>
      </c>
      <c r="Q398">
        <v>7.71</v>
      </c>
      <c r="R398">
        <v>9.2899999999999991</v>
      </c>
      <c r="S398">
        <v>3.39</v>
      </c>
      <c r="T398">
        <v>5.04</v>
      </c>
      <c r="U398">
        <v>4.93</v>
      </c>
      <c r="V398">
        <v>0.08</v>
      </c>
      <c r="W398">
        <v>369.31</v>
      </c>
      <c r="X398" t="s">
        <v>66</v>
      </c>
      <c r="Y398" t="s">
        <v>40</v>
      </c>
    </row>
    <row r="399" spans="1:25" x14ac:dyDescent="0.3">
      <c r="A399">
        <v>398</v>
      </c>
      <c r="B399" t="s">
        <v>433</v>
      </c>
      <c r="C399" t="s">
        <v>384</v>
      </c>
      <c r="D399" t="s">
        <v>109</v>
      </c>
      <c r="E399" t="s">
        <v>50</v>
      </c>
      <c r="F399">
        <v>4</v>
      </c>
      <c r="G399">
        <v>150</v>
      </c>
      <c r="H399">
        <v>600</v>
      </c>
      <c r="I399">
        <v>70</v>
      </c>
      <c r="J399">
        <v>280</v>
      </c>
      <c r="K399">
        <v>320</v>
      </c>
      <c r="L399" t="s">
        <v>29</v>
      </c>
      <c r="M399" t="s">
        <v>45</v>
      </c>
      <c r="N399" t="s">
        <v>81</v>
      </c>
      <c r="O399">
        <v>27.63</v>
      </c>
      <c r="P399">
        <v>57.33</v>
      </c>
      <c r="Q399">
        <v>10.34</v>
      </c>
      <c r="R399">
        <v>1.83</v>
      </c>
      <c r="S399">
        <v>2.72</v>
      </c>
      <c r="T399">
        <v>14.94</v>
      </c>
      <c r="U399">
        <v>3.65</v>
      </c>
      <c r="V399">
        <v>0.9</v>
      </c>
      <c r="W399">
        <v>200.66</v>
      </c>
      <c r="X399" t="s">
        <v>57</v>
      </c>
      <c r="Y399" t="s">
        <v>40</v>
      </c>
    </row>
    <row r="400" spans="1:25" x14ac:dyDescent="0.3">
      <c r="A400">
        <v>399</v>
      </c>
      <c r="B400" t="s">
        <v>229</v>
      </c>
      <c r="C400" t="s">
        <v>392</v>
      </c>
      <c r="D400" t="s">
        <v>49</v>
      </c>
      <c r="E400" t="s">
        <v>50</v>
      </c>
      <c r="F400">
        <v>1</v>
      </c>
      <c r="G400">
        <v>180</v>
      </c>
      <c r="H400">
        <v>180</v>
      </c>
      <c r="I400">
        <v>90</v>
      </c>
      <c r="J400">
        <v>90</v>
      </c>
      <c r="K400">
        <v>90</v>
      </c>
      <c r="L400" t="s">
        <v>44</v>
      </c>
      <c r="M400" t="s">
        <v>56</v>
      </c>
      <c r="N400" t="s">
        <v>90</v>
      </c>
      <c r="O400">
        <v>33.99</v>
      </c>
      <c r="P400">
        <v>59.87</v>
      </c>
      <c r="Q400">
        <v>16.649999999999999</v>
      </c>
      <c r="R400">
        <v>10.199999999999999</v>
      </c>
      <c r="S400">
        <v>3.64</v>
      </c>
      <c r="T400">
        <v>6.25</v>
      </c>
      <c r="U400">
        <v>4.2300000000000004</v>
      </c>
      <c r="V400">
        <v>1.57</v>
      </c>
      <c r="W400">
        <v>-46.4</v>
      </c>
      <c r="X400" t="s">
        <v>32</v>
      </c>
      <c r="Y400" t="s">
        <v>40</v>
      </c>
    </row>
    <row r="401" spans="1:25" x14ac:dyDescent="0.3">
      <c r="A401">
        <v>400</v>
      </c>
      <c r="B401" t="s">
        <v>229</v>
      </c>
      <c r="C401" t="s">
        <v>447</v>
      </c>
      <c r="D401" t="s">
        <v>109</v>
      </c>
      <c r="E401" t="s">
        <v>50</v>
      </c>
      <c r="F401">
        <v>2</v>
      </c>
      <c r="G401">
        <v>150</v>
      </c>
      <c r="H401">
        <v>300</v>
      </c>
      <c r="I401">
        <v>70</v>
      </c>
      <c r="J401">
        <v>140</v>
      </c>
      <c r="K401">
        <v>160</v>
      </c>
      <c r="L401" t="s">
        <v>86</v>
      </c>
      <c r="M401" t="s">
        <v>38</v>
      </c>
      <c r="N401" t="s">
        <v>51</v>
      </c>
      <c r="O401">
        <v>28.82</v>
      </c>
      <c r="P401">
        <v>31.93</v>
      </c>
      <c r="Q401">
        <v>13.96</v>
      </c>
      <c r="R401">
        <v>20.079999999999998</v>
      </c>
      <c r="S401">
        <v>0.44</v>
      </c>
      <c r="T401">
        <v>13.66</v>
      </c>
      <c r="U401">
        <v>7.11</v>
      </c>
      <c r="V401">
        <v>0.08</v>
      </c>
      <c r="W401">
        <v>43.92</v>
      </c>
      <c r="X401" t="s">
        <v>57</v>
      </c>
      <c r="Y401" t="s">
        <v>40</v>
      </c>
    </row>
    <row r="402" spans="1:25" x14ac:dyDescent="0.3">
      <c r="A402">
        <v>401</v>
      </c>
      <c r="B402" t="s">
        <v>47</v>
      </c>
      <c r="C402" t="s">
        <v>448</v>
      </c>
      <c r="D402" t="s">
        <v>54</v>
      </c>
      <c r="E402" t="s">
        <v>28</v>
      </c>
      <c r="F402">
        <v>4</v>
      </c>
      <c r="G402">
        <v>120</v>
      </c>
      <c r="H402">
        <v>480</v>
      </c>
      <c r="I402">
        <v>50</v>
      </c>
      <c r="J402">
        <v>200</v>
      </c>
      <c r="K402">
        <v>280</v>
      </c>
      <c r="L402" t="s">
        <v>37</v>
      </c>
      <c r="M402" t="s">
        <v>56</v>
      </c>
      <c r="N402" t="s">
        <v>31</v>
      </c>
      <c r="O402">
        <v>11.37</v>
      </c>
      <c r="P402">
        <v>44.07</v>
      </c>
      <c r="Q402">
        <v>16.440000000000001</v>
      </c>
      <c r="R402">
        <v>3.94</v>
      </c>
      <c r="S402">
        <v>0.84</v>
      </c>
      <c r="T402">
        <v>4.8099999999999996</v>
      </c>
      <c r="U402">
        <v>3.26</v>
      </c>
      <c r="V402">
        <v>1.8</v>
      </c>
      <c r="W402">
        <v>193.47</v>
      </c>
      <c r="X402" t="s">
        <v>66</v>
      </c>
      <c r="Y402" t="s">
        <v>33</v>
      </c>
    </row>
    <row r="403" spans="1:25" x14ac:dyDescent="0.3">
      <c r="A403">
        <v>402</v>
      </c>
      <c r="B403" t="s">
        <v>79</v>
      </c>
      <c r="C403" t="s">
        <v>140</v>
      </c>
      <c r="D403" t="s">
        <v>27</v>
      </c>
      <c r="E403" t="s">
        <v>28</v>
      </c>
      <c r="F403">
        <v>1</v>
      </c>
      <c r="G403">
        <v>200</v>
      </c>
      <c r="H403">
        <v>200</v>
      </c>
      <c r="I403">
        <v>90</v>
      </c>
      <c r="J403">
        <v>90</v>
      </c>
      <c r="K403">
        <v>110</v>
      </c>
      <c r="L403" t="s">
        <v>44</v>
      </c>
      <c r="M403" t="s">
        <v>63</v>
      </c>
      <c r="N403" t="s">
        <v>39</v>
      </c>
      <c r="O403">
        <v>22.72</v>
      </c>
      <c r="P403">
        <v>49.49</v>
      </c>
      <c r="Q403">
        <v>15.36</v>
      </c>
      <c r="R403">
        <v>15.83</v>
      </c>
      <c r="S403">
        <v>2.44</v>
      </c>
      <c r="T403">
        <v>10.44</v>
      </c>
      <c r="U403">
        <v>1.01</v>
      </c>
      <c r="V403">
        <v>2</v>
      </c>
      <c r="W403">
        <v>-9.2899999999999991</v>
      </c>
      <c r="X403" t="s">
        <v>57</v>
      </c>
      <c r="Y403" t="s">
        <v>33</v>
      </c>
    </row>
    <row r="404" spans="1:25" x14ac:dyDescent="0.3">
      <c r="A404">
        <v>403</v>
      </c>
      <c r="B404" t="s">
        <v>379</v>
      </c>
      <c r="C404" t="s">
        <v>449</v>
      </c>
      <c r="D404" t="s">
        <v>62</v>
      </c>
      <c r="E404" t="s">
        <v>28</v>
      </c>
      <c r="F404">
        <v>3</v>
      </c>
      <c r="G404">
        <v>250</v>
      </c>
      <c r="H404">
        <v>750</v>
      </c>
      <c r="I404">
        <v>110</v>
      </c>
      <c r="J404">
        <v>330</v>
      </c>
      <c r="K404">
        <v>420</v>
      </c>
      <c r="L404" t="s">
        <v>86</v>
      </c>
      <c r="M404" t="s">
        <v>45</v>
      </c>
      <c r="N404" t="s">
        <v>39</v>
      </c>
      <c r="O404">
        <v>28.37</v>
      </c>
      <c r="P404">
        <v>38.49</v>
      </c>
      <c r="Q404">
        <v>15.65</v>
      </c>
      <c r="R404">
        <v>20.2</v>
      </c>
      <c r="S404">
        <v>0.48</v>
      </c>
      <c r="T404">
        <v>5.52</v>
      </c>
      <c r="U404">
        <v>2.12</v>
      </c>
      <c r="V404">
        <v>1.68</v>
      </c>
      <c r="W404">
        <v>307.49</v>
      </c>
      <c r="X404" t="s">
        <v>57</v>
      </c>
      <c r="Y404" t="s">
        <v>40</v>
      </c>
    </row>
    <row r="405" spans="1:25" x14ac:dyDescent="0.3">
      <c r="A405">
        <v>404</v>
      </c>
      <c r="B405" t="s">
        <v>271</v>
      </c>
      <c r="C405" t="s">
        <v>322</v>
      </c>
      <c r="D405" t="s">
        <v>43</v>
      </c>
      <c r="E405" t="s">
        <v>43</v>
      </c>
      <c r="F405">
        <v>3</v>
      </c>
      <c r="G405">
        <v>80</v>
      </c>
      <c r="H405">
        <v>240</v>
      </c>
      <c r="I405">
        <v>30</v>
      </c>
      <c r="J405">
        <v>90</v>
      </c>
      <c r="K405">
        <v>150</v>
      </c>
      <c r="L405" t="s">
        <v>29</v>
      </c>
      <c r="M405" t="s">
        <v>45</v>
      </c>
      <c r="N405" t="s">
        <v>51</v>
      </c>
      <c r="O405">
        <v>15.42</v>
      </c>
      <c r="P405">
        <v>16.96</v>
      </c>
      <c r="Q405">
        <v>8.3000000000000007</v>
      </c>
      <c r="R405">
        <v>34.31</v>
      </c>
      <c r="S405">
        <v>2.08</v>
      </c>
      <c r="T405">
        <v>4.49</v>
      </c>
      <c r="U405">
        <v>2.42</v>
      </c>
      <c r="V405">
        <v>2.17</v>
      </c>
      <c r="W405">
        <v>63.85</v>
      </c>
      <c r="X405" t="s">
        <v>32</v>
      </c>
      <c r="Y405" t="s">
        <v>40</v>
      </c>
    </row>
    <row r="406" spans="1:25" x14ac:dyDescent="0.3">
      <c r="A406">
        <v>405</v>
      </c>
      <c r="B406" t="s">
        <v>328</v>
      </c>
      <c r="C406" t="s">
        <v>450</v>
      </c>
      <c r="D406" t="s">
        <v>27</v>
      </c>
      <c r="E406" t="s">
        <v>28</v>
      </c>
      <c r="F406">
        <v>2</v>
      </c>
      <c r="G406">
        <v>200</v>
      </c>
      <c r="H406">
        <v>400</v>
      </c>
      <c r="I406">
        <v>90</v>
      </c>
      <c r="J406">
        <v>180</v>
      </c>
      <c r="K406">
        <v>220</v>
      </c>
      <c r="L406" t="s">
        <v>29</v>
      </c>
      <c r="M406" t="s">
        <v>45</v>
      </c>
      <c r="N406" t="s">
        <v>46</v>
      </c>
      <c r="O406">
        <v>27.29</v>
      </c>
      <c r="P406">
        <v>56.73</v>
      </c>
      <c r="Q406">
        <v>10.69</v>
      </c>
      <c r="R406">
        <v>25.33</v>
      </c>
      <c r="S406">
        <v>3.38</v>
      </c>
      <c r="T406">
        <v>8.8000000000000007</v>
      </c>
      <c r="U406">
        <v>4.9400000000000004</v>
      </c>
      <c r="V406">
        <v>2.4700000000000002</v>
      </c>
      <c r="W406">
        <v>80.37</v>
      </c>
      <c r="X406" t="s">
        <v>57</v>
      </c>
      <c r="Y406" t="s">
        <v>33</v>
      </c>
    </row>
    <row r="407" spans="1:25" x14ac:dyDescent="0.3">
      <c r="A407">
        <v>406</v>
      </c>
      <c r="B407" t="s">
        <v>346</v>
      </c>
      <c r="C407" t="s">
        <v>232</v>
      </c>
      <c r="D407" t="s">
        <v>43</v>
      </c>
      <c r="E407" t="s">
        <v>43</v>
      </c>
      <c r="F407">
        <v>4</v>
      </c>
      <c r="G407">
        <v>80</v>
      </c>
      <c r="H407">
        <v>320</v>
      </c>
      <c r="I407">
        <v>30</v>
      </c>
      <c r="J407">
        <v>120</v>
      </c>
      <c r="K407">
        <v>200</v>
      </c>
      <c r="L407" t="s">
        <v>55</v>
      </c>
      <c r="M407" t="s">
        <v>45</v>
      </c>
      <c r="N407" t="s">
        <v>46</v>
      </c>
      <c r="O407">
        <v>34.83</v>
      </c>
      <c r="P407">
        <v>52.56</v>
      </c>
      <c r="Q407">
        <v>6.59</v>
      </c>
      <c r="R407">
        <v>11.89</v>
      </c>
      <c r="S407">
        <v>1.0900000000000001</v>
      </c>
      <c r="T407">
        <v>12.23</v>
      </c>
      <c r="U407">
        <v>4.08</v>
      </c>
      <c r="V407">
        <v>2.0099999999999998</v>
      </c>
      <c r="W407">
        <v>74.72</v>
      </c>
      <c r="X407" t="s">
        <v>57</v>
      </c>
      <c r="Y407" t="s">
        <v>33</v>
      </c>
    </row>
    <row r="408" spans="1:25" x14ac:dyDescent="0.3">
      <c r="A408">
        <v>407</v>
      </c>
      <c r="B408" t="s">
        <v>132</v>
      </c>
      <c r="C408" t="s">
        <v>326</v>
      </c>
      <c r="D408" t="s">
        <v>27</v>
      </c>
      <c r="E408" t="s">
        <v>28</v>
      </c>
      <c r="F408">
        <v>2</v>
      </c>
      <c r="G408">
        <v>200</v>
      </c>
      <c r="H408">
        <v>400</v>
      </c>
      <c r="I408">
        <v>90</v>
      </c>
      <c r="J408">
        <v>180</v>
      </c>
      <c r="K408">
        <v>220</v>
      </c>
      <c r="L408" t="s">
        <v>44</v>
      </c>
      <c r="M408" t="s">
        <v>30</v>
      </c>
      <c r="N408" t="s">
        <v>39</v>
      </c>
      <c r="O408">
        <v>14.24</v>
      </c>
      <c r="P408">
        <v>37.28</v>
      </c>
      <c r="Q408">
        <v>5.26</v>
      </c>
      <c r="R408">
        <v>7.92</v>
      </c>
      <c r="S408">
        <v>3.2</v>
      </c>
      <c r="T408">
        <v>3.06</v>
      </c>
      <c r="U408">
        <v>6.49</v>
      </c>
      <c r="V408">
        <v>1.8</v>
      </c>
      <c r="W408">
        <v>140.75</v>
      </c>
      <c r="X408" t="s">
        <v>32</v>
      </c>
      <c r="Y408" t="s">
        <v>33</v>
      </c>
    </row>
    <row r="409" spans="1:25" x14ac:dyDescent="0.3">
      <c r="A409">
        <v>408</v>
      </c>
      <c r="B409" t="s">
        <v>193</v>
      </c>
      <c r="C409" t="s">
        <v>362</v>
      </c>
      <c r="D409" t="s">
        <v>109</v>
      </c>
      <c r="E409" t="s">
        <v>50</v>
      </c>
      <c r="F409">
        <v>4</v>
      </c>
      <c r="G409">
        <v>150</v>
      </c>
      <c r="H409">
        <v>600</v>
      </c>
      <c r="I409">
        <v>70</v>
      </c>
      <c r="J409">
        <v>280</v>
      </c>
      <c r="K409">
        <v>320</v>
      </c>
      <c r="L409" t="s">
        <v>37</v>
      </c>
      <c r="M409" t="s">
        <v>38</v>
      </c>
      <c r="N409" t="s">
        <v>81</v>
      </c>
      <c r="O409">
        <v>15.94</v>
      </c>
      <c r="P409">
        <v>50.43</v>
      </c>
      <c r="Q409">
        <v>5.91</v>
      </c>
      <c r="R409">
        <v>33.25</v>
      </c>
      <c r="S409">
        <v>4.84</v>
      </c>
      <c r="T409">
        <v>8.4</v>
      </c>
      <c r="U409">
        <v>7.08</v>
      </c>
      <c r="V409">
        <v>2.68</v>
      </c>
      <c r="W409">
        <v>191.47</v>
      </c>
      <c r="X409" t="s">
        <v>66</v>
      </c>
      <c r="Y409" t="s">
        <v>33</v>
      </c>
    </row>
    <row r="410" spans="1:25" x14ac:dyDescent="0.3">
      <c r="A410">
        <v>409</v>
      </c>
      <c r="B410" t="s">
        <v>253</v>
      </c>
      <c r="C410" t="s">
        <v>255</v>
      </c>
      <c r="D410" t="s">
        <v>62</v>
      </c>
      <c r="E410" t="s">
        <v>28</v>
      </c>
      <c r="F410">
        <v>3</v>
      </c>
      <c r="G410">
        <v>250</v>
      </c>
      <c r="H410">
        <v>750</v>
      </c>
      <c r="I410">
        <v>110</v>
      </c>
      <c r="J410">
        <v>330</v>
      </c>
      <c r="K410">
        <v>420</v>
      </c>
      <c r="L410" t="s">
        <v>44</v>
      </c>
      <c r="M410" t="s">
        <v>30</v>
      </c>
      <c r="N410" t="s">
        <v>90</v>
      </c>
      <c r="O410">
        <v>17.82</v>
      </c>
      <c r="P410">
        <v>57.14</v>
      </c>
      <c r="Q410">
        <v>6.01</v>
      </c>
      <c r="R410">
        <v>22.24</v>
      </c>
      <c r="S410">
        <v>0.56000000000000005</v>
      </c>
      <c r="T410">
        <v>9.69</v>
      </c>
      <c r="U410">
        <v>3.64</v>
      </c>
      <c r="V410">
        <v>2.77</v>
      </c>
      <c r="W410">
        <v>300.13</v>
      </c>
      <c r="X410" t="s">
        <v>66</v>
      </c>
      <c r="Y410" t="s">
        <v>40</v>
      </c>
    </row>
    <row r="411" spans="1:25" x14ac:dyDescent="0.3">
      <c r="A411">
        <v>410</v>
      </c>
      <c r="B411" t="s">
        <v>398</v>
      </c>
      <c r="C411" t="s">
        <v>436</v>
      </c>
      <c r="D411" t="s">
        <v>27</v>
      </c>
      <c r="E411" t="s">
        <v>28</v>
      </c>
      <c r="F411">
        <v>2</v>
      </c>
      <c r="G411">
        <v>200</v>
      </c>
      <c r="H411">
        <v>400</v>
      </c>
      <c r="I411">
        <v>90</v>
      </c>
      <c r="J411">
        <v>180</v>
      </c>
      <c r="K411">
        <v>220</v>
      </c>
      <c r="L411" t="s">
        <v>29</v>
      </c>
      <c r="M411" t="s">
        <v>30</v>
      </c>
      <c r="N411" t="s">
        <v>31</v>
      </c>
      <c r="O411">
        <v>11.64</v>
      </c>
      <c r="P411">
        <v>40.4</v>
      </c>
      <c r="Q411">
        <v>17.13</v>
      </c>
      <c r="R411">
        <v>20</v>
      </c>
      <c r="S411">
        <v>0.8</v>
      </c>
      <c r="T411">
        <v>14.63</v>
      </c>
      <c r="U411">
        <v>6.2</v>
      </c>
      <c r="V411">
        <v>2.81</v>
      </c>
      <c r="W411">
        <v>106.39</v>
      </c>
      <c r="X411" t="s">
        <v>66</v>
      </c>
      <c r="Y411" t="s">
        <v>40</v>
      </c>
    </row>
    <row r="412" spans="1:25" x14ac:dyDescent="0.3">
      <c r="A412">
        <v>411</v>
      </c>
      <c r="B412" t="s">
        <v>263</v>
      </c>
      <c r="C412" t="s">
        <v>358</v>
      </c>
      <c r="D412" t="s">
        <v>36</v>
      </c>
      <c r="E412" t="s">
        <v>28</v>
      </c>
      <c r="F412">
        <v>1</v>
      </c>
      <c r="G412">
        <v>220</v>
      </c>
      <c r="H412">
        <v>220</v>
      </c>
      <c r="I412">
        <v>100</v>
      </c>
      <c r="J412">
        <v>100</v>
      </c>
      <c r="K412">
        <v>120</v>
      </c>
      <c r="L412" t="s">
        <v>37</v>
      </c>
      <c r="M412" t="s">
        <v>30</v>
      </c>
      <c r="N412" t="s">
        <v>51</v>
      </c>
      <c r="O412">
        <v>34.75</v>
      </c>
      <c r="P412">
        <v>28.68</v>
      </c>
      <c r="Q412">
        <v>16.649999999999999</v>
      </c>
      <c r="R412">
        <v>27.71</v>
      </c>
      <c r="S412">
        <v>3.77</v>
      </c>
      <c r="T412">
        <v>14.48</v>
      </c>
      <c r="U412">
        <v>4.92</v>
      </c>
      <c r="V412">
        <v>0.08</v>
      </c>
      <c r="W412">
        <v>-11.04</v>
      </c>
      <c r="X412" t="s">
        <v>66</v>
      </c>
      <c r="Y412" t="s">
        <v>40</v>
      </c>
    </row>
    <row r="413" spans="1:25" x14ac:dyDescent="0.3">
      <c r="A413">
        <v>412</v>
      </c>
      <c r="B413" t="s">
        <v>271</v>
      </c>
      <c r="C413" t="s">
        <v>451</v>
      </c>
      <c r="D413" t="s">
        <v>49</v>
      </c>
      <c r="E413" t="s">
        <v>50</v>
      </c>
      <c r="F413">
        <v>4</v>
      </c>
      <c r="G413">
        <v>180</v>
      </c>
      <c r="H413">
        <v>720</v>
      </c>
      <c r="I413">
        <v>90</v>
      </c>
      <c r="J413">
        <v>360</v>
      </c>
      <c r="K413">
        <v>360</v>
      </c>
      <c r="L413" t="s">
        <v>29</v>
      </c>
      <c r="M413" t="s">
        <v>30</v>
      </c>
      <c r="N413" t="s">
        <v>39</v>
      </c>
      <c r="O413">
        <v>38.96</v>
      </c>
      <c r="P413">
        <v>26.95</v>
      </c>
      <c r="Q413">
        <v>9.27</v>
      </c>
      <c r="R413">
        <v>34</v>
      </c>
      <c r="S413">
        <v>1.66</v>
      </c>
      <c r="T413">
        <v>8.77</v>
      </c>
      <c r="U413">
        <v>7.69</v>
      </c>
      <c r="V413">
        <v>1.57</v>
      </c>
      <c r="W413">
        <v>231.13</v>
      </c>
      <c r="X413" t="s">
        <v>32</v>
      </c>
      <c r="Y413" t="s">
        <v>33</v>
      </c>
    </row>
    <row r="414" spans="1:25" x14ac:dyDescent="0.3">
      <c r="A414">
        <v>413</v>
      </c>
      <c r="B414" t="s">
        <v>440</v>
      </c>
      <c r="C414" t="s">
        <v>144</v>
      </c>
      <c r="D414" t="s">
        <v>54</v>
      </c>
      <c r="E414" t="s">
        <v>28</v>
      </c>
      <c r="F414">
        <v>1</v>
      </c>
      <c r="G414">
        <v>120</v>
      </c>
      <c r="H414">
        <v>120</v>
      </c>
      <c r="I414">
        <v>50</v>
      </c>
      <c r="J414">
        <v>50</v>
      </c>
      <c r="K414">
        <v>70</v>
      </c>
      <c r="L414" t="s">
        <v>44</v>
      </c>
      <c r="M414" t="s">
        <v>38</v>
      </c>
      <c r="N414" t="s">
        <v>39</v>
      </c>
      <c r="O414">
        <v>13.26</v>
      </c>
      <c r="P414">
        <v>54.01</v>
      </c>
      <c r="Q414">
        <v>9.33</v>
      </c>
      <c r="R414">
        <v>5.83</v>
      </c>
      <c r="S414">
        <v>2.4900000000000002</v>
      </c>
      <c r="T414">
        <v>4.54</v>
      </c>
      <c r="U414">
        <v>4.21</v>
      </c>
      <c r="V414">
        <v>0.96</v>
      </c>
      <c r="W414">
        <v>-24.63</v>
      </c>
      <c r="X414" t="s">
        <v>66</v>
      </c>
      <c r="Y414" t="s">
        <v>33</v>
      </c>
    </row>
    <row r="415" spans="1:25" x14ac:dyDescent="0.3">
      <c r="A415">
        <v>414</v>
      </c>
      <c r="B415" t="s">
        <v>79</v>
      </c>
      <c r="C415" t="s">
        <v>368</v>
      </c>
      <c r="D415" t="s">
        <v>43</v>
      </c>
      <c r="E415" t="s">
        <v>43</v>
      </c>
      <c r="F415">
        <v>3</v>
      </c>
      <c r="G415">
        <v>80</v>
      </c>
      <c r="H415">
        <v>240</v>
      </c>
      <c r="I415">
        <v>30</v>
      </c>
      <c r="J415">
        <v>90</v>
      </c>
      <c r="K415">
        <v>150</v>
      </c>
      <c r="L415" t="s">
        <v>29</v>
      </c>
      <c r="M415" t="s">
        <v>45</v>
      </c>
      <c r="N415" t="s">
        <v>46</v>
      </c>
      <c r="O415">
        <v>37.28</v>
      </c>
      <c r="P415">
        <v>54.67</v>
      </c>
      <c r="Q415">
        <v>8.77</v>
      </c>
      <c r="R415">
        <v>30.07</v>
      </c>
      <c r="S415">
        <v>4.4000000000000004</v>
      </c>
      <c r="T415">
        <v>4.6900000000000004</v>
      </c>
      <c r="U415">
        <v>2.0299999999999998</v>
      </c>
      <c r="V415">
        <v>1.66</v>
      </c>
      <c r="W415">
        <v>6.43</v>
      </c>
      <c r="X415" t="s">
        <v>57</v>
      </c>
      <c r="Y415" t="s">
        <v>33</v>
      </c>
    </row>
    <row r="416" spans="1:25" x14ac:dyDescent="0.3">
      <c r="A416">
        <v>415</v>
      </c>
      <c r="B416" t="s">
        <v>172</v>
      </c>
      <c r="C416" t="s">
        <v>129</v>
      </c>
      <c r="D416" t="s">
        <v>43</v>
      </c>
      <c r="E416" t="s">
        <v>43</v>
      </c>
      <c r="F416">
        <v>3</v>
      </c>
      <c r="G416">
        <v>80</v>
      </c>
      <c r="H416">
        <v>240</v>
      </c>
      <c r="I416">
        <v>30</v>
      </c>
      <c r="J416">
        <v>90</v>
      </c>
      <c r="K416">
        <v>150</v>
      </c>
      <c r="L416" t="s">
        <v>44</v>
      </c>
      <c r="M416" t="s">
        <v>30</v>
      </c>
      <c r="N416" t="s">
        <v>46</v>
      </c>
      <c r="O416">
        <v>16.53</v>
      </c>
      <c r="P416">
        <v>32.71</v>
      </c>
      <c r="Q416">
        <v>11.43</v>
      </c>
      <c r="R416">
        <v>16.05</v>
      </c>
      <c r="S416">
        <v>4.3499999999999996</v>
      </c>
      <c r="T416">
        <v>8.4700000000000006</v>
      </c>
      <c r="U416">
        <v>7.42</v>
      </c>
      <c r="V416">
        <v>2.68</v>
      </c>
      <c r="W416">
        <v>50.36</v>
      </c>
      <c r="X416" t="s">
        <v>57</v>
      </c>
      <c r="Y416" t="s">
        <v>40</v>
      </c>
    </row>
    <row r="417" spans="1:25" x14ac:dyDescent="0.3">
      <c r="A417">
        <v>416</v>
      </c>
      <c r="B417" t="s">
        <v>117</v>
      </c>
      <c r="C417" t="s">
        <v>364</v>
      </c>
      <c r="D417" t="s">
        <v>36</v>
      </c>
      <c r="E417" t="s">
        <v>28</v>
      </c>
      <c r="F417">
        <v>1</v>
      </c>
      <c r="G417">
        <v>220</v>
      </c>
      <c r="H417">
        <v>220</v>
      </c>
      <c r="I417">
        <v>100</v>
      </c>
      <c r="J417">
        <v>100</v>
      </c>
      <c r="K417">
        <v>120</v>
      </c>
      <c r="L417" t="s">
        <v>37</v>
      </c>
      <c r="M417" t="s">
        <v>63</v>
      </c>
      <c r="N417" t="s">
        <v>31</v>
      </c>
      <c r="O417">
        <v>39.79</v>
      </c>
      <c r="P417">
        <v>32.46</v>
      </c>
      <c r="Q417">
        <v>11.46</v>
      </c>
      <c r="R417">
        <v>25.84</v>
      </c>
      <c r="S417">
        <v>1.85</v>
      </c>
      <c r="T417">
        <v>3.72</v>
      </c>
      <c r="U417">
        <v>2.63</v>
      </c>
      <c r="V417">
        <v>0.34</v>
      </c>
      <c r="W417">
        <v>1.91</v>
      </c>
      <c r="X417" t="s">
        <v>32</v>
      </c>
      <c r="Y417" t="s">
        <v>40</v>
      </c>
    </row>
    <row r="418" spans="1:25" x14ac:dyDescent="0.3">
      <c r="A418">
        <v>417</v>
      </c>
      <c r="B418" t="s">
        <v>401</v>
      </c>
      <c r="C418" t="s">
        <v>230</v>
      </c>
      <c r="D418" t="s">
        <v>54</v>
      </c>
      <c r="E418" t="s">
        <v>28</v>
      </c>
      <c r="F418">
        <v>4</v>
      </c>
      <c r="G418">
        <v>120</v>
      </c>
      <c r="H418">
        <v>480</v>
      </c>
      <c r="I418">
        <v>50</v>
      </c>
      <c r="J418">
        <v>200</v>
      </c>
      <c r="K418">
        <v>280</v>
      </c>
      <c r="L418" t="s">
        <v>37</v>
      </c>
      <c r="M418" t="s">
        <v>45</v>
      </c>
      <c r="N418" t="s">
        <v>31</v>
      </c>
      <c r="O418">
        <v>19.14</v>
      </c>
      <c r="P418">
        <v>39.56</v>
      </c>
      <c r="Q418">
        <v>6.4</v>
      </c>
      <c r="R418">
        <v>26.65</v>
      </c>
      <c r="S418">
        <v>4.41</v>
      </c>
      <c r="T418">
        <v>7.43</v>
      </c>
      <c r="U418">
        <v>4.26</v>
      </c>
      <c r="V418">
        <v>0.82</v>
      </c>
      <c r="W418">
        <v>171.33</v>
      </c>
      <c r="X418" t="s">
        <v>66</v>
      </c>
      <c r="Y418" t="s">
        <v>33</v>
      </c>
    </row>
    <row r="419" spans="1:25" x14ac:dyDescent="0.3">
      <c r="A419">
        <v>418</v>
      </c>
      <c r="B419" t="s">
        <v>245</v>
      </c>
      <c r="C419" t="s">
        <v>85</v>
      </c>
      <c r="D419" t="s">
        <v>43</v>
      </c>
      <c r="E419" t="s">
        <v>43</v>
      </c>
      <c r="F419">
        <v>2</v>
      </c>
      <c r="G419">
        <v>80</v>
      </c>
      <c r="H419">
        <v>160</v>
      </c>
      <c r="I419">
        <v>30</v>
      </c>
      <c r="J419">
        <v>60</v>
      </c>
      <c r="K419">
        <v>100</v>
      </c>
      <c r="L419" t="s">
        <v>55</v>
      </c>
      <c r="M419" t="s">
        <v>63</v>
      </c>
      <c r="N419" t="s">
        <v>90</v>
      </c>
      <c r="O419">
        <v>13.4</v>
      </c>
      <c r="P419">
        <v>26.87</v>
      </c>
      <c r="Q419">
        <v>11.07</v>
      </c>
      <c r="R419">
        <v>9.26</v>
      </c>
      <c r="S419">
        <v>0.7</v>
      </c>
      <c r="T419">
        <v>14.57</v>
      </c>
      <c r="U419">
        <v>2.78</v>
      </c>
      <c r="V419">
        <v>0.37</v>
      </c>
      <c r="W419">
        <v>20.98</v>
      </c>
      <c r="X419" t="s">
        <v>66</v>
      </c>
      <c r="Y419" t="s">
        <v>33</v>
      </c>
    </row>
    <row r="420" spans="1:25" x14ac:dyDescent="0.3">
      <c r="A420">
        <v>419</v>
      </c>
      <c r="B420" t="s">
        <v>115</v>
      </c>
      <c r="C420" t="s">
        <v>418</v>
      </c>
      <c r="D420" t="s">
        <v>43</v>
      </c>
      <c r="E420" t="s">
        <v>43</v>
      </c>
      <c r="F420">
        <v>1</v>
      </c>
      <c r="G420">
        <v>80</v>
      </c>
      <c r="H420">
        <v>80</v>
      </c>
      <c r="I420">
        <v>30</v>
      </c>
      <c r="J420">
        <v>30</v>
      </c>
      <c r="K420">
        <v>50</v>
      </c>
      <c r="L420" t="s">
        <v>55</v>
      </c>
      <c r="M420" t="s">
        <v>63</v>
      </c>
      <c r="N420" t="s">
        <v>46</v>
      </c>
      <c r="O420">
        <v>10.52</v>
      </c>
      <c r="P420">
        <v>49.23</v>
      </c>
      <c r="Q420">
        <v>11.36</v>
      </c>
      <c r="R420">
        <v>34.04</v>
      </c>
      <c r="S420">
        <v>0.6</v>
      </c>
      <c r="T420">
        <v>6.3</v>
      </c>
      <c r="U420">
        <v>6.92</v>
      </c>
      <c r="V420">
        <v>1.1399999999999999</v>
      </c>
      <c r="W420">
        <v>-70.11</v>
      </c>
      <c r="X420" t="s">
        <v>57</v>
      </c>
      <c r="Y420" t="s">
        <v>40</v>
      </c>
    </row>
    <row r="421" spans="1:25" x14ac:dyDescent="0.3">
      <c r="A421">
        <v>420</v>
      </c>
      <c r="B421" t="s">
        <v>60</v>
      </c>
      <c r="C421" t="s">
        <v>389</v>
      </c>
      <c r="D421" t="s">
        <v>89</v>
      </c>
      <c r="E421" t="s">
        <v>28</v>
      </c>
      <c r="F421">
        <v>2</v>
      </c>
      <c r="G421">
        <v>180</v>
      </c>
      <c r="H421">
        <v>360</v>
      </c>
      <c r="I421">
        <v>75</v>
      </c>
      <c r="J421">
        <v>150</v>
      </c>
      <c r="K421">
        <v>210</v>
      </c>
      <c r="L421" t="s">
        <v>29</v>
      </c>
      <c r="M421" t="s">
        <v>45</v>
      </c>
      <c r="N421" t="s">
        <v>90</v>
      </c>
      <c r="O421">
        <v>24.11</v>
      </c>
      <c r="P421">
        <v>41.97</v>
      </c>
      <c r="Q421">
        <v>16.46</v>
      </c>
      <c r="R421">
        <v>12.71</v>
      </c>
      <c r="S421">
        <v>3.33</v>
      </c>
      <c r="T421">
        <v>5.49</v>
      </c>
      <c r="U421">
        <v>2.63</v>
      </c>
      <c r="V421">
        <v>1.81</v>
      </c>
      <c r="W421">
        <v>101.49</v>
      </c>
      <c r="X421" t="s">
        <v>32</v>
      </c>
      <c r="Y421" t="s">
        <v>33</v>
      </c>
    </row>
    <row r="422" spans="1:25" x14ac:dyDescent="0.3">
      <c r="A422">
        <v>421</v>
      </c>
      <c r="B422" t="s">
        <v>327</v>
      </c>
      <c r="C422" t="s">
        <v>445</v>
      </c>
      <c r="D422" t="s">
        <v>49</v>
      </c>
      <c r="E422" t="s">
        <v>50</v>
      </c>
      <c r="F422">
        <v>3</v>
      </c>
      <c r="G422">
        <v>180</v>
      </c>
      <c r="H422">
        <v>540</v>
      </c>
      <c r="I422">
        <v>90</v>
      </c>
      <c r="J422">
        <v>270</v>
      </c>
      <c r="K422">
        <v>270</v>
      </c>
      <c r="L422" t="s">
        <v>55</v>
      </c>
      <c r="M422" t="s">
        <v>30</v>
      </c>
      <c r="N422" t="s">
        <v>39</v>
      </c>
      <c r="O422">
        <v>33.770000000000003</v>
      </c>
      <c r="P422">
        <v>52.32</v>
      </c>
      <c r="Q422">
        <v>6.65</v>
      </c>
      <c r="R422">
        <v>17.72</v>
      </c>
      <c r="S422">
        <v>4.32</v>
      </c>
      <c r="T422">
        <v>5.52</v>
      </c>
      <c r="U422">
        <v>4.83</v>
      </c>
      <c r="V422">
        <v>1.91</v>
      </c>
      <c r="W422">
        <v>142.96</v>
      </c>
      <c r="X422" t="s">
        <v>66</v>
      </c>
      <c r="Y422" t="s">
        <v>33</v>
      </c>
    </row>
    <row r="423" spans="1:25" x14ac:dyDescent="0.3">
      <c r="A423">
        <v>422</v>
      </c>
      <c r="B423" t="s">
        <v>452</v>
      </c>
      <c r="C423" t="s">
        <v>26</v>
      </c>
      <c r="D423" t="s">
        <v>54</v>
      </c>
      <c r="E423" t="s">
        <v>28</v>
      </c>
      <c r="F423">
        <v>2</v>
      </c>
      <c r="G423">
        <v>120</v>
      </c>
      <c r="H423">
        <v>240</v>
      </c>
      <c r="I423">
        <v>50</v>
      </c>
      <c r="J423">
        <v>100</v>
      </c>
      <c r="K423">
        <v>140</v>
      </c>
      <c r="L423" t="s">
        <v>55</v>
      </c>
      <c r="M423" t="s">
        <v>56</v>
      </c>
      <c r="N423" t="s">
        <v>51</v>
      </c>
      <c r="O423">
        <v>21.57</v>
      </c>
      <c r="P423">
        <v>42.2</v>
      </c>
      <c r="Q423">
        <v>5.45</v>
      </c>
      <c r="R423">
        <v>20.05</v>
      </c>
      <c r="S423">
        <v>3.92</v>
      </c>
      <c r="T423">
        <v>4.63</v>
      </c>
      <c r="U423">
        <v>5.38</v>
      </c>
      <c r="V423">
        <v>0.22</v>
      </c>
      <c r="W423">
        <v>36.58</v>
      </c>
      <c r="X423" t="s">
        <v>57</v>
      </c>
      <c r="Y423" t="s">
        <v>33</v>
      </c>
    </row>
    <row r="424" spans="1:25" x14ac:dyDescent="0.3">
      <c r="A424">
        <v>423</v>
      </c>
      <c r="B424" t="s">
        <v>84</v>
      </c>
      <c r="C424" t="s">
        <v>399</v>
      </c>
      <c r="D424" t="s">
        <v>43</v>
      </c>
      <c r="E424" t="s">
        <v>43</v>
      </c>
      <c r="F424">
        <v>3</v>
      </c>
      <c r="G424">
        <v>80</v>
      </c>
      <c r="H424">
        <v>240</v>
      </c>
      <c r="I424">
        <v>30</v>
      </c>
      <c r="J424">
        <v>90</v>
      </c>
      <c r="K424">
        <v>150</v>
      </c>
      <c r="L424" t="s">
        <v>86</v>
      </c>
      <c r="M424" t="s">
        <v>56</v>
      </c>
      <c r="N424" t="s">
        <v>39</v>
      </c>
      <c r="O424">
        <v>31.28</v>
      </c>
      <c r="P424">
        <v>52.44</v>
      </c>
      <c r="Q424">
        <v>14.87</v>
      </c>
      <c r="R424">
        <v>23.34</v>
      </c>
      <c r="S424">
        <v>4.28</v>
      </c>
      <c r="T424">
        <v>13.42</v>
      </c>
      <c r="U424">
        <v>3.78</v>
      </c>
      <c r="V424">
        <v>2.27</v>
      </c>
      <c r="W424">
        <v>4.32</v>
      </c>
      <c r="X424" t="s">
        <v>66</v>
      </c>
      <c r="Y424" t="s">
        <v>40</v>
      </c>
    </row>
    <row r="425" spans="1:25" x14ac:dyDescent="0.3">
      <c r="A425">
        <v>424</v>
      </c>
      <c r="B425" t="s">
        <v>268</v>
      </c>
      <c r="C425" t="s">
        <v>120</v>
      </c>
      <c r="D425" t="s">
        <v>43</v>
      </c>
      <c r="E425" t="s">
        <v>43</v>
      </c>
      <c r="F425">
        <v>4</v>
      </c>
      <c r="G425">
        <v>80</v>
      </c>
      <c r="H425">
        <v>320</v>
      </c>
      <c r="I425">
        <v>30</v>
      </c>
      <c r="J425">
        <v>120</v>
      </c>
      <c r="K425">
        <v>200</v>
      </c>
      <c r="L425" t="s">
        <v>86</v>
      </c>
      <c r="M425" t="s">
        <v>56</v>
      </c>
      <c r="N425" t="s">
        <v>90</v>
      </c>
      <c r="O425">
        <v>29.46</v>
      </c>
      <c r="P425">
        <v>59.3</v>
      </c>
      <c r="Q425">
        <v>15.38</v>
      </c>
      <c r="R425">
        <v>15.25</v>
      </c>
      <c r="S425">
        <v>3.3</v>
      </c>
      <c r="T425">
        <v>11.09</v>
      </c>
      <c r="U425">
        <v>6.28</v>
      </c>
      <c r="V425">
        <v>2.36</v>
      </c>
      <c r="W425">
        <v>57.58</v>
      </c>
      <c r="X425" t="s">
        <v>66</v>
      </c>
      <c r="Y425" t="s">
        <v>40</v>
      </c>
    </row>
    <row r="426" spans="1:25" x14ac:dyDescent="0.3">
      <c r="A426">
        <v>425</v>
      </c>
      <c r="B426" t="s">
        <v>453</v>
      </c>
      <c r="C426" t="s">
        <v>374</v>
      </c>
      <c r="D426" t="s">
        <v>62</v>
      </c>
      <c r="E426" t="s">
        <v>28</v>
      </c>
      <c r="F426">
        <v>3</v>
      </c>
      <c r="G426">
        <v>250</v>
      </c>
      <c r="H426">
        <v>750</v>
      </c>
      <c r="I426">
        <v>110</v>
      </c>
      <c r="J426">
        <v>330</v>
      </c>
      <c r="K426">
        <v>420</v>
      </c>
      <c r="L426" t="s">
        <v>29</v>
      </c>
      <c r="M426" t="s">
        <v>56</v>
      </c>
      <c r="N426" t="s">
        <v>51</v>
      </c>
      <c r="O426">
        <v>37.83</v>
      </c>
      <c r="P426">
        <v>22.07</v>
      </c>
      <c r="Q426">
        <v>11.82</v>
      </c>
      <c r="R426">
        <v>10.6</v>
      </c>
      <c r="S426">
        <v>1.98</v>
      </c>
      <c r="T426">
        <v>12.58</v>
      </c>
      <c r="U426">
        <v>1.89</v>
      </c>
      <c r="V426">
        <v>0.83</v>
      </c>
      <c r="W426">
        <v>320.39999999999998</v>
      </c>
      <c r="X426" t="s">
        <v>66</v>
      </c>
      <c r="Y426" t="s">
        <v>33</v>
      </c>
    </row>
    <row r="427" spans="1:25" x14ac:dyDescent="0.3">
      <c r="A427">
        <v>426</v>
      </c>
      <c r="B427" t="s">
        <v>454</v>
      </c>
      <c r="C427" t="s">
        <v>455</v>
      </c>
      <c r="D427" t="s">
        <v>109</v>
      </c>
      <c r="E427" t="s">
        <v>50</v>
      </c>
      <c r="F427">
        <v>2</v>
      </c>
      <c r="G427">
        <v>150</v>
      </c>
      <c r="H427">
        <v>300</v>
      </c>
      <c r="I427">
        <v>70</v>
      </c>
      <c r="J427">
        <v>140</v>
      </c>
      <c r="K427">
        <v>160</v>
      </c>
      <c r="L427" t="s">
        <v>29</v>
      </c>
      <c r="M427" t="s">
        <v>63</v>
      </c>
      <c r="N427" t="s">
        <v>81</v>
      </c>
      <c r="O427">
        <v>23</v>
      </c>
      <c r="P427">
        <v>27.87</v>
      </c>
      <c r="Q427">
        <v>8.6</v>
      </c>
      <c r="R427">
        <v>15.18</v>
      </c>
      <c r="S427">
        <v>1.19</v>
      </c>
      <c r="T427">
        <v>2.0499999999999998</v>
      </c>
      <c r="U427">
        <v>1.36</v>
      </c>
      <c r="V427">
        <v>0.8</v>
      </c>
      <c r="W427">
        <v>79.95</v>
      </c>
      <c r="X427" t="s">
        <v>66</v>
      </c>
      <c r="Y427" t="s">
        <v>40</v>
      </c>
    </row>
    <row r="428" spans="1:25" x14ac:dyDescent="0.3">
      <c r="A428">
        <v>427</v>
      </c>
      <c r="B428" t="s">
        <v>344</v>
      </c>
      <c r="C428" t="s">
        <v>196</v>
      </c>
      <c r="D428" t="s">
        <v>36</v>
      </c>
      <c r="E428" t="s">
        <v>28</v>
      </c>
      <c r="F428">
        <v>4</v>
      </c>
      <c r="G428">
        <v>220</v>
      </c>
      <c r="H428">
        <v>880</v>
      </c>
      <c r="I428">
        <v>100</v>
      </c>
      <c r="J428">
        <v>400</v>
      </c>
      <c r="K428">
        <v>480</v>
      </c>
      <c r="L428" t="s">
        <v>55</v>
      </c>
      <c r="M428" t="s">
        <v>63</v>
      </c>
      <c r="N428" t="s">
        <v>39</v>
      </c>
      <c r="O428">
        <v>15.59</v>
      </c>
      <c r="P428">
        <v>27.11</v>
      </c>
      <c r="Q428">
        <v>19.72</v>
      </c>
      <c r="R428">
        <v>33.51</v>
      </c>
      <c r="S428">
        <v>2.36</v>
      </c>
      <c r="T428">
        <v>10.48</v>
      </c>
      <c r="U428">
        <v>4.5999999999999996</v>
      </c>
      <c r="V428">
        <v>2.4700000000000002</v>
      </c>
      <c r="W428">
        <v>364.16</v>
      </c>
      <c r="X428" t="s">
        <v>32</v>
      </c>
      <c r="Y428" t="s">
        <v>33</v>
      </c>
    </row>
    <row r="429" spans="1:25" x14ac:dyDescent="0.3">
      <c r="A429">
        <v>428</v>
      </c>
      <c r="B429" t="s">
        <v>117</v>
      </c>
      <c r="C429" t="s">
        <v>437</v>
      </c>
      <c r="D429" t="s">
        <v>54</v>
      </c>
      <c r="E429" t="s">
        <v>28</v>
      </c>
      <c r="F429">
        <v>3</v>
      </c>
      <c r="G429">
        <v>120</v>
      </c>
      <c r="H429">
        <v>360</v>
      </c>
      <c r="I429">
        <v>50</v>
      </c>
      <c r="J429">
        <v>150</v>
      </c>
      <c r="K429">
        <v>210</v>
      </c>
      <c r="L429" t="s">
        <v>37</v>
      </c>
      <c r="M429" t="s">
        <v>63</v>
      </c>
      <c r="N429" t="s">
        <v>39</v>
      </c>
      <c r="O429">
        <v>35.880000000000003</v>
      </c>
      <c r="P429">
        <v>57.95</v>
      </c>
      <c r="Q429">
        <v>14.11</v>
      </c>
      <c r="R429">
        <v>32.68</v>
      </c>
      <c r="S429">
        <v>4.05</v>
      </c>
      <c r="T429">
        <v>2.11</v>
      </c>
      <c r="U429">
        <v>2.27</v>
      </c>
      <c r="V429">
        <v>0.12</v>
      </c>
      <c r="W429">
        <v>60.83</v>
      </c>
      <c r="X429" t="s">
        <v>32</v>
      </c>
      <c r="Y429" t="s">
        <v>33</v>
      </c>
    </row>
    <row r="430" spans="1:25" x14ac:dyDescent="0.3">
      <c r="A430">
        <v>429</v>
      </c>
      <c r="B430" t="s">
        <v>115</v>
      </c>
      <c r="C430" t="s">
        <v>259</v>
      </c>
      <c r="D430" t="s">
        <v>62</v>
      </c>
      <c r="E430" t="s">
        <v>28</v>
      </c>
      <c r="F430">
        <v>4</v>
      </c>
      <c r="G430">
        <v>250</v>
      </c>
      <c r="H430">
        <v>1000</v>
      </c>
      <c r="I430">
        <v>110</v>
      </c>
      <c r="J430">
        <v>440</v>
      </c>
      <c r="K430">
        <v>560</v>
      </c>
      <c r="L430" t="s">
        <v>37</v>
      </c>
      <c r="M430" t="s">
        <v>30</v>
      </c>
      <c r="N430" t="s">
        <v>81</v>
      </c>
      <c r="O430">
        <v>36.299999999999997</v>
      </c>
      <c r="P430">
        <v>36.020000000000003</v>
      </c>
      <c r="Q430">
        <v>8.34</v>
      </c>
      <c r="R430">
        <v>11.09</v>
      </c>
      <c r="S430">
        <v>3.24</v>
      </c>
      <c r="T430">
        <v>3.83</v>
      </c>
      <c r="U430">
        <v>4.9400000000000004</v>
      </c>
      <c r="V430">
        <v>1.39</v>
      </c>
      <c r="W430">
        <v>454.85</v>
      </c>
      <c r="X430" t="s">
        <v>32</v>
      </c>
      <c r="Y430" t="s">
        <v>33</v>
      </c>
    </row>
    <row r="431" spans="1:25" x14ac:dyDescent="0.3">
      <c r="A431">
        <v>430</v>
      </c>
      <c r="B431" t="s">
        <v>60</v>
      </c>
      <c r="C431" t="s">
        <v>456</v>
      </c>
      <c r="D431" t="s">
        <v>43</v>
      </c>
      <c r="E431" t="s">
        <v>43</v>
      </c>
      <c r="F431">
        <v>2</v>
      </c>
      <c r="G431">
        <v>80</v>
      </c>
      <c r="H431">
        <v>160</v>
      </c>
      <c r="I431">
        <v>30</v>
      </c>
      <c r="J431">
        <v>60</v>
      </c>
      <c r="K431">
        <v>100</v>
      </c>
      <c r="L431" t="s">
        <v>37</v>
      </c>
      <c r="M431" t="s">
        <v>38</v>
      </c>
      <c r="N431" t="s">
        <v>90</v>
      </c>
      <c r="O431">
        <v>22.57</v>
      </c>
      <c r="P431">
        <v>39.83</v>
      </c>
      <c r="Q431">
        <v>14.73</v>
      </c>
      <c r="R431">
        <v>0.86</v>
      </c>
      <c r="S431">
        <v>3.14</v>
      </c>
      <c r="T431">
        <v>3.79</v>
      </c>
      <c r="U431">
        <v>7.01</v>
      </c>
      <c r="V431">
        <v>0.19</v>
      </c>
      <c r="W431">
        <v>7.88</v>
      </c>
      <c r="X431" t="s">
        <v>57</v>
      </c>
      <c r="Y431" t="s">
        <v>33</v>
      </c>
    </row>
    <row r="432" spans="1:25" x14ac:dyDescent="0.3">
      <c r="A432">
        <v>431</v>
      </c>
      <c r="B432" t="s">
        <v>293</v>
      </c>
      <c r="C432" t="s">
        <v>457</v>
      </c>
      <c r="D432" t="s">
        <v>43</v>
      </c>
      <c r="E432" t="s">
        <v>43</v>
      </c>
      <c r="F432">
        <v>2</v>
      </c>
      <c r="G432">
        <v>80</v>
      </c>
      <c r="H432">
        <v>160</v>
      </c>
      <c r="I432">
        <v>30</v>
      </c>
      <c r="J432">
        <v>60</v>
      </c>
      <c r="K432">
        <v>100</v>
      </c>
      <c r="L432" t="s">
        <v>29</v>
      </c>
      <c r="M432" t="s">
        <v>30</v>
      </c>
      <c r="N432" t="s">
        <v>90</v>
      </c>
      <c r="O432">
        <v>18.28</v>
      </c>
      <c r="P432">
        <v>22.74</v>
      </c>
      <c r="Q432">
        <v>13.22</v>
      </c>
      <c r="R432">
        <v>3.82</v>
      </c>
      <c r="S432">
        <v>1.47</v>
      </c>
      <c r="T432">
        <v>12.56</v>
      </c>
      <c r="U432">
        <v>7.67</v>
      </c>
      <c r="V432">
        <v>0.79</v>
      </c>
      <c r="W432">
        <v>19.45</v>
      </c>
      <c r="X432" t="s">
        <v>66</v>
      </c>
      <c r="Y432" t="s">
        <v>33</v>
      </c>
    </row>
    <row r="433" spans="1:25" x14ac:dyDescent="0.3">
      <c r="A433">
        <v>432</v>
      </c>
      <c r="B433" t="s">
        <v>82</v>
      </c>
      <c r="C433" t="s">
        <v>458</v>
      </c>
      <c r="D433" t="s">
        <v>43</v>
      </c>
      <c r="E433" t="s">
        <v>43</v>
      </c>
      <c r="F433">
        <v>4</v>
      </c>
      <c r="G433">
        <v>80</v>
      </c>
      <c r="H433">
        <v>320</v>
      </c>
      <c r="I433">
        <v>30</v>
      </c>
      <c r="J433">
        <v>120</v>
      </c>
      <c r="K433">
        <v>200</v>
      </c>
      <c r="L433" t="s">
        <v>37</v>
      </c>
      <c r="M433" t="s">
        <v>56</v>
      </c>
      <c r="N433" t="s">
        <v>39</v>
      </c>
      <c r="O433">
        <v>36.81</v>
      </c>
      <c r="P433">
        <v>19.7</v>
      </c>
      <c r="Q433">
        <v>17.77</v>
      </c>
      <c r="R433">
        <v>8.2799999999999994</v>
      </c>
      <c r="S433">
        <v>0.11</v>
      </c>
      <c r="T433">
        <v>10.11</v>
      </c>
      <c r="U433">
        <v>7.25</v>
      </c>
      <c r="V433">
        <v>2.2999999999999998</v>
      </c>
      <c r="W433">
        <v>97.67</v>
      </c>
      <c r="X433" t="s">
        <v>32</v>
      </c>
      <c r="Y433" t="s">
        <v>33</v>
      </c>
    </row>
    <row r="434" spans="1:25" x14ac:dyDescent="0.3">
      <c r="A434">
        <v>433</v>
      </c>
      <c r="B434" t="s">
        <v>285</v>
      </c>
      <c r="C434" t="s">
        <v>136</v>
      </c>
      <c r="D434" t="s">
        <v>36</v>
      </c>
      <c r="E434" t="s">
        <v>28</v>
      </c>
      <c r="F434">
        <v>2</v>
      </c>
      <c r="G434">
        <v>220</v>
      </c>
      <c r="H434">
        <v>440</v>
      </c>
      <c r="I434">
        <v>100</v>
      </c>
      <c r="J434">
        <v>200</v>
      </c>
      <c r="K434">
        <v>240</v>
      </c>
      <c r="L434" t="s">
        <v>29</v>
      </c>
      <c r="M434" t="s">
        <v>56</v>
      </c>
      <c r="N434" t="s">
        <v>90</v>
      </c>
      <c r="O434">
        <v>37.01</v>
      </c>
      <c r="P434">
        <v>20.350000000000001</v>
      </c>
      <c r="Q434">
        <v>14.87</v>
      </c>
      <c r="R434">
        <v>27.05</v>
      </c>
      <c r="S434">
        <v>4.8</v>
      </c>
      <c r="T434">
        <v>11.18</v>
      </c>
      <c r="U434">
        <v>2.38</v>
      </c>
      <c r="V434">
        <v>2.5299999999999998</v>
      </c>
      <c r="W434">
        <v>119.83</v>
      </c>
      <c r="X434" t="s">
        <v>32</v>
      </c>
      <c r="Y434" t="s">
        <v>40</v>
      </c>
    </row>
    <row r="435" spans="1:25" x14ac:dyDescent="0.3">
      <c r="A435">
        <v>434</v>
      </c>
      <c r="B435" t="s">
        <v>126</v>
      </c>
      <c r="C435" t="s">
        <v>76</v>
      </c>
      <c r="D435" t="s">
        <v>62</v>
      </c>
      <c r="E435" t="s">
        <v>28</v>
      </c>
      <c r="F435">
        <v>3</v>
      </c>
      <c r="G435">
        <v>250</v>
      </c>
      <c r="H435">
        <v>750</v>
      </c>
      <c r="I435">
        <v>110</v>
      </c>
      <c r="J435">
        <v>330</v>
      </c>
      <c r="K435">
        <v>420</v>
      </c>
      <c r="L435" t="s">
        <v>29</v>
      </c>
      <c r="M435" t="s">
        <v>56</v>
      </c>
      <c r="N435" t="s">
        <v>51</v>
      </c>
      <c r="O435">
        <v>15.77</v>
      </c>
      <c r="P435">
        <v>24.03</v>
      </c>
      <c r="Q435">
        <v>5.79</v>
      </c>
      <c r="R435">
        <v>9.5399999999999991</v>
      </c>
      <c r="S435">
        <v>1.56</v>
      </c>
      <c r="T435">
        <v>11.59</v>
      </c>
      <c r="U435">
        <v>1.34</v>
      </c>
      <c r="V435">
        <v>2.2999999999999998</v>
      </c>
      <c r="W435">
        <v>348.08</v>
      </c>
      <c r="X435" t="s">
        <v>66</v>
      </c>
      <c r="Y435" t="s">
        <v>33</v>
      </c>
    </row>
    <row r="436" spans="1:25" x14ac:dyDescent="0.3">
      <c r="A436">
        <v>435</v>
      </c>
      <c r="B436" t="s">
        <v>263</v>
      </c>
      <c r="C436" t="s">
        <v>374</v>
      </c>
      <c r="D436" t="s">
        <v>43</v>
      </c>
      <c r="E436" t="s">
        <v>43</v>
      </c>
      <c r="F436">
        <v>2</v>
      </c>
      <c r="G436">
        <v>80</v>
      </c>
      <c r="H436">
        <v>160</v>
      </c>
      <c r="I436">
        <v>30</v>
      </c>
      <c r="J436">
        <v>60</v>
      </c>
      <c r="K436">
        <v>100</v>
      </c>
      <c r="L436" t="s">
        <v>55</v>
      </c>
      <c r="M436" t="s">
        <v>56</v>
      </c>
      <c r="N436" t="s">
        <v>81</v>
      </c>
      <c r="O436">
        <v>31.83</v>
      </c>
      <c r="P436">
        <v>20.07</v>
      </c>
      <c r="Q436">
        <v>14.66</v>
      </c>
      <c r="R436">
        <v>33.119999999999997</v>
      </c>
      <c r="S436">
        <v>4.49</v>
      </c>
      <c r="T436">
        <v>8.8000000000000007</v>
      </c>
      <c r="U436">
        <v>3.15</v>
      </c>
      <c r="V436">
        <v>1.54</v>
      </c>
      <c r="W436">
        <v>-17.66</v>
      </c>
      <c r="X436" t="s">
        <v>66</v>
      </c>
      <c r="Y436" t="s">
        <v>33</v>
      </c>
    </row>
    <row r="437" spans="1:25" x14ac:dyDescent="0.3">
      <c r="A437">
        <v>436</v>
      </c>
      <c r="B437" t="s">
        <v>459</v>
      </c>
      <c r="C437" t="s">
        <v>228</v>
      </c>
      <c r="D437" t="s">
        <v>36</v>
      </c>
      <c r="E437" t="s">
        <v>28</v>
      </c>
      <c r="F437">
        <v>2</v>
      </c>
      <c r="G437">
        <v>220</v>
      </c>
      <c r="H437">
        <v>440</v>
      </c>
      <c r="I437">
        <v>100</v>
      </c>
      <c r="J437">
        <v>200</v>
      </c>
      <c r="K437">
        <v>240</v>
      </c>
      <c r="L437" t="s">
        <v>44</v>
      </c>
      <c r="M437" t="s">
        <v>30</v>
      </c>
      <c r="N437" t="s">
        <v>81</v>
      </c>
      <c r="O437">
        <v>38.58</v>
      </c>
      <c r="P437">
        <v>51.39</v>
      </c>
      <c r="Q437">
        <v>15.05</v>
      </c>
      <c r="R437">
        <v>34.020000000000003</v>
      </c>
      <c r="S437">
        <v>1.24</v>
      </c>
      <c r="T437">
        <v>4.9800000000000004</v>
      </c>
      <c r="U437">
        <v>7.22</v>
      </c>
      <c r="V437">
        <v>2.1</v>
      </c>
      <c r="W437">
        <v>85.42</v>
      </c>
      <c r="X437" t="s">
        <v>32</v>
      </c>
      <c r="Y437" t="s">
        <v>33</v>
      </c>
    </row>
    <row r="438" spans="1:25" x14ac:dyDescent="0.3">
      <c r="A438">
        <v>437</v>
      </c>
      <c r="B438" t="s">
        <v>214</v>
      </c>
      <c r="C438" t="s">
        <v>460</v>
      </c>
      <c r="D438" t="s">
        <v>27</v>
      </c>
      <c r="E438" t="s">
        <v>28</v>
      </c>
      <c r="F438">
        <v>2</v>
      </c>
      <c r="G438">
        <v>200</v>
      </c>
      <c r="H438">
        <v>400</v>
      </c>
      <c r="I438">
        <v>90</v>
      </c>
      <c r="J438">
        <v>180</v>
      </c>
      <c r="K438">
        <v>220</v>
      </c>
      <c r="L438" t="s">
        <v>55</v>
      </c>
      <c r="M438" t="s">
        <v>30</v>
      </c>
      <c r="N438" t="s">
        <v>31</v>
      </c>
      <c r="O438">
        <v>13.06</v>
      </c>
      <c r="P438">
        <v>56.62</v>
      </c>
      <c r="Q438">
        <v>8.34</v>
      </c>
      <c r="R438">
        <v>2.2200000000000002</v>
      </c>
      <c r="S438">
        <v>4.0599999999999996</v>
      </c>
      <c r="T438">
        <v>9.94</v>
      </c>
      <c r="U438">
        <v>1.07</v>
      </c>
      <c r="V438">
        <v>0.36</v>
      </c>
      <c r="W438">
        <v>124.33</v>
      </c>
      <c r="X438" t="s">
        <v>32</v>
      </c>
      <c r="Y438" t="s">
        <v>40</v>
      </c>
    </row>
    <row r="439" spans="1:25" x14ac:dyDescent="0.3">
      <c r="A439">
        <v>438</v>
      </c>
      <c r="B439" t="s">
        <v>233</v>
      </c>
      <c r="C439" t="s">
        <v>461</v>
      </c>
      <c r="D439" t="s">
        <v>27</v>
      </c>
      <c r="E439" t="s">
        <v>28</v>
      </c>
      <c r="F439">
        <v>2</v>
      </c>
      <c r="G439">
        <v>200</v>
      </c>
      <c r="H439">
        <v>400</v>
      </c>
      <c r="I439">
        <v>90</v>
      </c>
      <c r="J439">
        <v>180</v>
      </c>
      <c r="K439">
        <v>220</v>
      </c>
      <c r="L439" t="s">
        <v>86</v>
      </c>
      <c r="M439" t="s">
        <v>30</v>
      </c>
      <c r="N439" t="s">
        <v>90</v>
      </c>
      <c r="O439">
        <v>27.19</v>
      </c>
      <c r="P439">
        <v>55.6</v>
      </c>
      <c r="Q439">
        <v>9.16</v>
      </c>
      <c r="R439">
        <v>8.0399999999999991</v>
      </c>
      <c r="S439">
        <v>2.58</v>
      </c>
      <c r="T439">
        <v>13.03</v>
      </c>
      <c r="U439">
        <v>7.46</v>
      </c>
      <c r="V439">
        <v>1.03</v>
      </c>
      <c r="W439">
        <v>95.91</v>
      </c>
      <c r="X439" t="s">
        <v>32</v>
      </c>
      <c r="Y439" t="s">
        <v>40</v>
      </c>
    </row>
    <row r="440" spans="1:25" x14ac:dyDescent="0.3">
      <c r="A440">
        <v>439</v>
      </c>
      <c r="B440" t="s">
        <v>419</v>
      </c>
      <c r="C440" t="s">
        <v>26</v>
      </c>
      <c r="D440" t="s">
        <v>109</v>
      </c>
      <c r="E440" t="s">
        <v>50</v>
      </c>
      <c r="F440">
        <v>4</v>
      </c>
      <c r="G440">
        <v>150</v>
      </c>
      <c r="H440">
        <v>600</v>
      </c>
      <c r="I440">
        <v>70</v>
      </c>
      <c r="J440">
        <v>280</v>
      </c>
      <c r="K440">
        <v>320</v>
      </c>
      <c r="L440" t="s">
        <v>37</v>
      </c>
      <c r="M440" t="s">
        <v>38</v>
      </c>
      <c r="N440" t="s">
        <v>46</v>
      </c>
      <c r="O440">
        <v>32.24</v>
      </c>
      <c r="P440">
        <v>55.52</v>
      </c>
      <c r="Q440">
        <v>17.170000000000002</v>
      </c>
      <c r="R440">
        <v>15.6</v>
      </c>
      <c r="S440">
        <v>4.4800000000000004</v>
      </c>
      <c r="T440">
        <v>5.84</v>
      </c>
      <c r="U440">
        <v>5.28</v>
      </c>
      <c r="V440">
        <v>0.27</v>
      </c>
      <c r="W440">
        <v>183.6</v>
      </c>
      <c r="X440" t="s">
        <v>32</v>
      </c>
      <c r="Y440" t="s">
        <v>33</v>
      </c>
    </row>
    <row r="441" spans="1:25" x14ac:dyDescent="0.3">
      <c r="A441">
        <v>440</v>
      </c>
      <c r="B441" t="s">
        <v>154</v>
      </c>
      <c r="C441" t="s">
        <v>462</v>
      </c>
      <c r="D441" t="s">
        <v>27</v>
      </c>
      <c r="E441" t="s">
        <v>28</v>
      </c>
      <c r="F441">
        <v>3</v>
      </c>
      <c r="G441">
        <v>200</v>
      </c>
      <c r="H441">
        <v>600</v>
      </c>
      <c r="I441">
        <v>90</v>
      </c>
      <c r="J441">
        <v>270</v>
      </c>
      <c r="K441">
        <v>330</v>
      </c>
      <c r="L441" t="s">
        <v>29</v>
      </c>
      <c r="M441" t="s">
        <v>30</v>
      </c>
      <c r="N441" t="s">
        <v>46</v>
      </c>
      <c r="O441">
        <v>14.73</v>
      </c>
      <c r="P441">
        <v>55.33</v>
      </c>
      <c r="Q441">
        <v>11.28</v>
      </c>
      <c r="R441">
        <v>33.14</v>
      </c>
      <c r="S441">
        <v>0.96</v>
      </c>
      <c r="T441">
        <v>12.91</v>
      </c>
      <c r="U441">
        <v>4.99</v>
      </c>
      <c r="V441">
        <v>2.52</v>
      </c>
      <c r="W441">
        <v>194.14</v>
      </c>
      <c r="X441" t="s">
        <v>57</v>
      </c>
      <c r="Y441" t="s">
        <v>33</v>
      </c>
    </row>
    <row r="442" spans="1:25" x14ac:dyDescent="0.3">
      <c r="A442">
        <v>441</v>
      </c>
      <c r="B442" t="s">
        <v>325</v>
      </c>
      <c r="C442" t="s">
        <v>53</v>
      </c>
      <c r="D442" t="s">
        <v>109</v>
      </c>
      <c r="E442" t="s">
        <v>50</v>
      </c>
      <c r="F442">
        <v>1</v>
      </c>
      <c r="G442">
        <v>150</v>
      </c>
      <c r="H442">
        <v>150</v>
      </c>
      <c r="I442">
        <v>70</v>
      </c>
      <c r="J442">
        <v>70</v>
      </c>
      <c r="K442">
        <v>80</v>
      </c>
      <c r="L442" t="s">
        <v>86</v>
      </c>
      <c r="M442" t="s">
        <v>63</v>
      </c>
      <c r="N442" t="s">
        <v>90</v>
      </c>
      <c r="O442">
        <v>37.64</v>
      </c>
      <c r="P442">
        <v>22.23</v>
      </c>
      <c r="Q442">
        <v>16.809999999999999</v>
      </c>
      <c r="R442">
        <v>8.3800000000000008</v>
      </c>
      <c r="S442">
        <v>3.04</v>
      </c>
      <c r="T442">
        <v>7.68</v>
      </c>
      <c r="U442">
        <v>4.42</v>
      </c>
      <c r="V442">
        <v>2.86</v>
      </c>
      <c r="W442">
        <v>-23.06</v>
      </c>
      <c r="X442" t="s">
        <v>57</v>
      </c>
      <c r="Y442" t="s">
        <v>33</v>
      </c>
    </row>
    <row r="443" spans="1:25" x14ac:dyDescent="0.3">
      <c r="A443">
        <v>442</v>
      </c>
      <c r="B443" t="s">
        <v>314</v>
      </c>
      <c r="C443" t="s">
        <v>463</v>
      </c>
      <c r="D443" t="s">
        <v>54</v>
      </c>
      <c r="E443" t="s">
        <v>28</v>
      </c>
      <c r="F443">
        <v>2</v>
      </c>
      <c r="G443">
        <v>120</v>
      </c>
      <c r="H443">
        <v>240</v>
      </c>
      <c r="I443">
        <v>50</v>
      </c>
      <c r="J443">
        <v>100</v>
      </c>
      <c r="K443">
        <v>140</v>
      </c>
      <c r="L443" t="s">
        <v>55</v>
      </c>
      <c r="M443" t="s">
        <v>63</v>
      </c>
      <c r="N443" t="s">
        <v>81</v>
      </c>
      <c r="O443">
        <v>28.51</v>
      </c>
      <c r="P443">
        <v>35.119999999999997</v>
      </c>
      <c r="Q443">
        <v>17.399999999999999</v>
      </c>
      <c r="R443">
        <v>24.72</v>
      </c>
      <c r="S443">
        <v>4.45</v>
      </c>
      <c r="T443">
        <v>6.79</v>
      </c>
      <c r="U443">
        <v>4.34</v>
      </c>
      <c r="V443">
        <v>1.32</v>
      </c>
      <c r="W443">
        <v>17.350000000000001</v>
      </c>
      <c r="X443" t="s">
        <v>32</v>
      </c>
      <c r="Y443" t="s">
        <v>40</v>
      </c>
    </row>
    <row r="444" spans="1:25" x14ac:dyDescent="0.3">
      <c r="A444">
        <v>443</v>
      </c>
      <c r="B444" t="s">
        <v>205</v>
      </c>
      <c r="C444" t="s">
        <v>355</v>
      </c>
      <c r="D444" t="s">
        <v>43</v>
      </c>
      <c r="E444" t="s">
        <v>43</v>
      </c>
      <c r="F444">
        <v>2</v>
      </c>
      <c r="G444">
        <v>80</v>
      </c>
      <c r="H444">
        <v>160</v>
      </c>
      <c r="I444">
        <v>30</v>
      </c>
      <c r="J444">
        <v>60</v>
      </c>
      <c r="K444">
        <v>100</v>
      </c>
      <c r="L444" t="s">
        <v>37</v>
      </c>
      <c r="M444" t="s">
        <v>30</v>
      </c>
      <c r="N444" t="s">
        <v>90</v>
      </c>
      <c r="O444">
        <v>10.53</v>
      </c>
      <c r="P444">
        <v>16.05</v>
      </c>
      <c r="Q444">
        <v>8.5299999999999994</v>
      </c>
      <c r="R444">
        <v>26.05</v>
      </c>
      <c r="S444">
        <v>4.78</v>
      </c>
      <c r="T444">
        <v>5.03</v>
      </c>
      <c r="U444">
        <v>6.84</v>
      </c>
      <c r="V444">
        <v>0.56000000000000005</v>
      </c>
      <c r="W444">
        <v>21.63</v>
      </c>
      <c r="X444" t="s">
        <v>32</v>
      </c>
      <c r="Y444" t="s">
        <v>33</v>
      </c>
    </row>
    <row r="445" spans="1:25" x14ac:dyDescent="0.3">
      <c r="A445">
        <v>444</v>
      </c>
      <c r="B445" t="s">
        <v>281</v>
      </c>
      <c r="C445" t="s">
        <v>464</v>
      </c>
      <c r="D445" t="s">
        <v>27</v>
      </c>
      <c r="E445" t="s">
        <v>28</v>
      </c>
      <c r="F445">
        <v>1</v>
      </c>
      <c r="G445">
        <v>200</v>
      </c>
      <c r="H445">
        <v>200</v>
      </c>
      <c r="I445">
        <v>90</v>
      </c>
      <c r="J445">
        <v>90</v>
      </c>
      <c r="K445">
        <v>110</v>
      </c>
      <c r="L445" t="s">
        <v>55</v>
      </c>
      <c r="M445" t="s">
        <v>30</v>
      </c>
      <c r="N445" t="s">
        <v>31</v>
      </c>
      <c r="O445">
        <v>29.81</v>
      </c>
      <c r="P445">
        <v>36.270000000000003</v>
      </c>
      <c r="Q445">
        <v>6.88</v>
      </c>
      <c r="R445">
        <v>23.3</v>
      </c>
      <c r="S445">
        <v>1.27</v>
      </c>
      <c r="T445">
        <v>3.93</v>
      </c>
      <c r="U445">
        <v>4.6100000000000003</v>
      </c>
      <c r="V445">
        <v>0.97</v>
      </c>
      <c r="W445">
        <v>2.96</v>
      </c>
      <c r="X445" t="s">
        <v>57</v>
      </c>
      <c r="Y445" t="s">
        <v>40</v>
      </c>
    </row>
    <row r="446" spans="1:25" x14ac:dyDescent="0.3">
      <c r="A446">
        <v>445</v>
      </c>
      <c r="B446" t="s">
        <v>414</v>
      </c>
      <c r="C446" t="s">
        <v>465</v>
      </c>
      <c r="D446" t="s">
        <v>49</v>
      </c>
      <c r="E446" t="s">
        <v>50</v>
      </c>
      <c r="F446">
        <v>2</v>
      </c>
      <c r="G446">
        <v>180</v>
      </c>
      <c r="H446">
        <v>360</v>
      </c>
      <c r="I446">
        <v>90</v>
      </c>
      <c r="J446">
        <v>180</v>
      </c>
      <c r="K446">
        <v>180</v>
      </c>
      <c r="L446" t="s">
        <v>86</v>
      </c>
      <c r="M446" t="s">
        <v>30</v>
      </c>
      <c r="N446" t="s">
        <v>31</v>
      </c>
      <c r="O446">
        <v>11.59</v>
      </c>
      <c r="P446">
        <v>26.96</v>
      </c>
      <c r="Q446">
        <v>13.62</v>
      </c>
      <c r="R446">
        <v>33.69</v>
      </c>
      <c r="S446">
        <v>3.41</v>
      </c>
      <c r="T446">
        <v>3.96</v>
      </c>
      <c r="U446">
        <v>7.51</v>
      </c>
      <c r="V446">
        <v>1.89</v>
      </c>
      <c r="W446">
        <v>77.37</v>
      </c>
      <c r="X446" t="s">
        <v>57</v>
      </c>
      <c r="Y446" t="s">
        <v>33</v>
      </c>
    </row>
    <row r="447" spans="1:25" x14ac:dyDescent="0.3">
      <c r="A447">
        <v>446</v>
      </c>
      <c r="B447" t="s">
        <v>466</v>
      </c>
      <c r="C447" t="s">
        <v>296</v>
      </c>
      <c r="D447" t="s">
        <v>62</v>
      </c>
      <c r="E447" t="s">
        <v>28</v>
      </c>
      <c r="F447">
        <v>4</v>
      </c>
      <c r="G447">
        <v>250</v>
      </c>
      <c r="H447">
        <v>1000</v>
      </c>
      <c r="I447">
        <v>110</v>
      </c>
      <c r="J447">
        <v>440</v>
      </c>
      <c r="K447">
        <v>560</v>
      </c>
      <c r="L447" t="s">
        <v>37</v>
      </c>
      <c r="M447" t="s">
        <v>30</v>
      </c>
      <c r="N447" t="s">
        <v>90</v>
      </c>
      <c r="O447">
        <v>37.75</v>
      </c>
      <c r="P447">
        <v>45.7</v>
      </c>
      <c r="Q447">
        <v>5.7</v>
      </c>
      <c r="R447">
        <v>23.21</v>
      </c>
      <c r="S447">
        <v>3.25</v>
      </c>
      <c r="T447">
        <v>11.18</v>
      </c>
      <c r="U447">
        <v>5.96</v>
      </c>
      <c r="V447">
        <v>0.68</v>
      </c>
      <c r="W447">
        <v>426.57</v>
      </c>
      <c r="X447" t="s">
        <v>57</v>
      </c>
      <c r="Y447" t="s">
        <v>40</v>
      </c>
    </row>
    <row r="448" spans="1:25" x14ac:dyDescent="0.3">
      <c r="A448">
        <v>447</v>
      </c>
      <c r="B448" t="s">
        <v>467</v>
      </c>
      <c r="C448" t="s">
        <v>468</v>
      </c>
      <c r="D448" t="s">
        <v>36</v>
      </c>
      <c r="E448" t="s">
        <v>28</v>
      </c>
      <c r="F448">
        <v>1</v>
      </c>
      <c r="G448">
        <v>220</v>
      </c>
      <c r="H448">
        <v>220</v>
      </c>
      <c r="I448">
        <v>100</v>
      </c>
      <c r="J448">
        <v>100</v>
      </c>
      <c r="K448">
        <v>120</v>
      </c>
      <c r="L448" t="s">
        <v>55</v>
      </c>
      <c r="M448" t="s">
        <v>56</v>
      </c>
      <c r="N448" t="s">
        <v>90</v>
      </c>
      <c r="O448">
        <v>13.34</v>
      </c>
      <c r="P448">
        <v>46.62</v>
      </c>
      <c r="Q448">
        <v>14.38</v>
      </c>
      <c r="R448">
        <v>5.21</v>
      </c>
      <c r="S448">
        <v>1.05</v>
      </c>
      <c r="T448">
        <v>11.52</v>
      </c>
      <c r="U448">
        <v>7.86</v>
      </c>
      <c r="V448">
        <v>0.09</v>
      </c>
      <c r="W448">
        <v>19.93</v>
      </c>
      <c r="X448" t="s">
        <v>66</v>
      </c>
      <c r="Y448" t="s">
        <v>33</v>
      </c>
    </row>
    <row r="449" spans="1:25" x14ac:dyDescent="0.3">
      <c r="A449">
        <v>448</v>
      </c>
      <c r="B449" t="s">
        <v>91</v>
      </c>
      <c r="C449" t="s">
        <v>469</v>
      </c>
      <c r="D449" t="s">
        <v>89</v>
      </c>
      <c r="E449" t="s">
        <v>28</v>
      </c>
      <c r="F449">
        <v>4</v>
      </c>
      <c r="G449">
        <v>180</v>
      </c>
      <c r="H449">
        <v>720</v>
      </c>
      <c r="I449">
        <v>75</v>
      </c>
      <c r="J449">
        <v>300</v>
      </c>
      <c r="K449">
        <v>420</v>
      </c>
      <c r="L449" t="s">
        <v>37</v>
      </c>
      <c r="M449" t="s">
        <v>38</v>
      </c>
      <c r="N449" t="s">
        <v>51</v>
      </c>
      <c r="O449">
        <v>34.78</v>
      </c>
      <c r="P449">
        <v>55.19</v>
      </c>
      <c r="Q449">
        <v>13.56</v>
      </c>
      <c r="R449">
        <v>24.41</v>
      </c>
      <c r="S449">
        <v>3.15</v>
      </c>
      <c r="T449">
        <v>7.84</v>
      </c>
      <c r="U449">
        <v>6.82</v>
      </c>
      <c r="V449">
        <v>0.87</v>
      </c>
      <c r="W449">
        <v>273.38</v>
      </c>
      <c r="X449" t="s">
        <v>32</v>
      </c>
      <c r="Y449" t="s">
        <v>33</v>
      </c>
    </row>
    <row r="450" spans="1:25" x14ac:dyDescent="0.3">
      <c r="A450">
        <v>449</v>
      </c>
      <c r="B450" t="s">
        <v>119</v>
      </c>
      <c r="C450" t="s">
        <v>406</v>
      </c>
      <c r="D450" t="s">
        <v>89</v>
      </c>
      <c r="E450" t="s">
        <v>28</v>
      </c>
      <c r="F450">
        <v>3</v>
      </c>
      <c r="G450">
        <v>180</v>
      </c>
      <c r="H450">
        <v>540</v>
      </c>
      <c r="I450">
        <v>75</v>
      </c>
      <c r="J450">
        <v>225</v>
      </c>
      <c r="K450">
        <v>315</v>
      </c>
      <c r="L450" t="s">
        <v>86</v>
      </c>
      <c r="M450" t="s">
        <v>30</v>
      </c>
      <c r="N450" t="s">
        <v>31</v>
      </c>
      <c r="O450">
        <v>28.88</v>
      </c>
      <c r="P450">
        <v>26.53</v>
      </c>
      <c r="Q450">
        <v>19.38</v>
      </c>
      <c r="R450">
        <v>17.55</v>
      </c>
      <c r="S450">
        <v>1.91</v>
      </c>
      <c r="T450">
        <v>7.46</v>
      </c>
      <c r="U450">
        <v>3.27</v>
      </c>
      <c r="V450">
        <v>2.75</v>
      </c>
      <c r="W450">
        <v>207.27</v>
      </c>
      <c r="X450" t="s">
        <v>66</v>
      </c>
      <c r="Y450" t="s">
        <v>33</v>
      </c>
    </row>
    <row r="451" spans="1:25" x14ac:dyDescent="0.3">
      <c r="A451">
        <v>450</v>
      </c>
      <c r="B451" t="s">
        <v>365</v>
      </c>
      <c r="C451" t="s">
        <v>470</v>
      </c>
      <c r="D451" t="s">
        <v>49</v>
      </c>
      <c r="E451" t="s">
        <v>50</v>
      </c>
      <c r="F451">
        <v>3</v>
      </c>
      <c r="G451">
        <v>180</v>
      </c>
      <c r="H451">
        <v>540</v>
      </c>
      <c r="I451">
        <v>90</v>
      </c>
      <c r="J451">
        <v>270</v>
      </c>
      <c r="K451">
        <v>270</v>
      </c>
      <c r="L451" t="s">
        <v>29</v>
      </c>
      <c r="M451" t="s">
        <v>63</v>
      </c>
      <c r="N451" t="s">
        <v>39</v>
      </c>
      <c r="O451">
        <v>22.09</v>
      </c>
      <c r="P451">
        <v>57.49</v>
      </c>
      <c r="Q451">
        <v>12.93</v>
      </c>
      <c r="R451">
        <v>2.19</v>
      </c>
      <c r="S451">
        <v>0.19</v>
      </c>
      <c r="T451">
        <v>8.08</v>
      </c>
      <c r="U451">
        <v>7.77</v>
      </c>
      <c r="V451">
        <v>0.56000000000000005</v>
      </c>
      <c r="W451">
        <v>158.69999999999999</v>
      </c>
      <c r="X451" t="s">
        <v>57</v>
      </c>
      <c r="Y451" t="s">
        <v>40</v>
      </c>
    </row>
    <row r="452" spans="1:25" x14ac:dyDescent="0.3">
      <c r="A452">
        <v>451</v>
      </c>
      <c r="B452" t="s">
        <v>52</v>
      </c>
      <c r="C452" t="s">
        <v>465</v>
      </c>
      <c r="D452" t="s">
        <v>54</v>
      </c>
      <c r="E452" t="s">
        <v>28</v>
      </c>
      <c r="F452">
        <v>4</v>
      </c>
      <c r="G452">
        <v>120</v>
      </c>
      <c r="H452">
        <v>480</v>
      </c>
      <c r="I452">
        <v>50</v>
      </c>
      <c r="J452">
        <v>200</v>
      </c>
      <c r="K452">
        <v>280</v>
      </c>
      <c r="L452" t="s">
        <v>55</v>
      </c>
      <c r="M452" t="s">
        <v>63</v>
      </c>
      <c r="N452" t="s">
        <v>39</v>
      </c>
      <c r="O452">
        <v>28.73</v>
      </c>
      <c r="P452">
        <v>22.78</v>
      </c>
      <c r="Q452">
        <v>10.7</v>
      </c>
      <c r="R452">
        <v>21.47</v>
      </c>
      <c r="S452">
        <v>4.28</v>
      </c>
      <c r="T452">
        <v>11.21</v>
      </c>
      <c r="U452">
        <v>2.12</v>
      </c>
      <c r="V452">
        <v>2.5099999999999998</v>
      </c>
      <c r="W452">
        <v>176.2</v>
      </c>
      <c r="X452" t="s">
        <v>66</v>
      </c>
      <c r="Y452" t="s">
        <v>40</v>
      </c>
    </row>
    <row r="453" spans="1:25" x14ac:dyDescent="0.3">
      <c r="A453">
        <v>452</v>
      </c>
      <c r="B453" t="s">
        <v>424</v>
      </c>
      <c r="C453" t="s">
        <v>276</v>
      </c>
      <c r="D453" t="s">
        <v>49</v>
      </c>
      <c r="E453" t="s">
        <v>50</v>
      </c>
      <c r="F453">
        <v>2</v>
      </c>
      <c r="G453">
        <v>180</v>
      </c>
      <c r="H453">
        <v>360</v>
      </c>
      <c r="I453">
        <v>90</v>
      </c>
      <c r="J453">
        <v>180</v>
      </c>
      <c r="K453">
        <v>180</v>
      </c>
      <c r="L453" t="s">
        <v>37</v>
      </c>
      <c r="M453" t="s">
        <v>30</v>
      </c>
      <c r="N453" t="s">
        <v>31</v>
      </c>
      <c r="O453">
        <v>35.61</v>
      </c>
      <c r="P453">
        <v>46.53</v>
      </c>
      <c r="Q453">
        <v>17</v>
      </c>
      <c r="R453">
        <v>20.91</v>
      </c>
      <c r="S453">
        <v>2.83</v>
      </c>
      <c r="T453">
        <v>12.68</v>
      </c>
      <c r="U453">
        <v>7.4</v>
      </c>
      <c r="V453">
        <v>1.61</v>
      </c>
      <c r="W453">
        <v>35.43</v>
      </c>
      <c r="X453" t="s">
        <v>32</v>
      </c>
      <c r="Y453" t="s">
        <v>33</v>
      </c>
    </row>
    <row r="454" spans="1:25" x14ac:dyDescent="0.3">
      <c r="A454">
        <v>453</v>
      </c>
      <c r="B454" t="s">
        <v>132</v>
      </c>
      <c r="C454" t="s">
        <v>449</v>
      </c>
      <c r="D454" t="s">
        <v>49</v>
      </c>
      <c r="E454" t="s">
        <v>50</v>
      </c>
      <c r="F454">
        <v>3</v>
      </c>
      <c r="G454">
        <v>180</v>
      </c>
      <c r="H454">
        <v>540</v>
      </c>
      <c r="I454">
        <v>90</v>
      </c>
      <c r="J454">
        <v>270</v>
      </c>
      <c r="K454">
        <v>270</v>
      </c>
      <c r="L454" t="s">
        <v>55</v>
      </c>
      <c r="M454" t="s">
        <v>63</v>
      </c>
      <c r="N454" t="s">
        <v>39</v>
      </c>
      <c r="O454">
        <v>38.950000000000003</v>
      </c>
      <c r="P454">
        <v>23.26</v>
      </c>
      <c r="Q454">
        <v>15.35</v>
      </c>
      <c r="R454">
        <v>12.46</v>
      </c>
      <c r="S454">
        <v>0.89</v>
      </c>
      <c r="T454">
        <v>6.87</v>
      </c>
      <c r="U454">
        <v>5.46</v>
      </c>
      <c r="V454">
        <v>2.64</v>
      </c>
      <c r="W454">
        <v>164.12</v>
      </c>
      <c r="X454" t="s">
        <v>66</v>
      </c>
      <c r="Y454" t="s">
        <v>40</v>
      </c>
    </row>
    <row r="455" spans="1:25" x14ac:dyDescent="0.3">
      <c r="A455">
        <v>454</v>
      </c>
      <c r="B455" t="s">
        <v>221</v>
      </c>
      <c r="C455" t="s">
        <v>278</v>
      </c>
      <c r="D455" t="s">
        <v>54</v>
      </c>
      <c r="E455" t="s">
        <v>28</v>
      </c>
      <c r="F455">
        <v>1</v>
      </c>
      <c r="G455">
        <v>120</v>
      </c>
      <c r="H455">
        <v>120</v>
      </c>
      <c r="I455">
        <v>50</v>
      </c>
      <c r="J455">
        <v>50</v>
      </c>
      <c r="K455">
        <v>70</v>
      </c>
      <c r="L455" t="s">
        <v>44</v>
      </c>
      <c r="M455" t="s">
        <v>56</v>
      </c>
      <c r="N455" t="s">
        <v>51</v>
      </c>
      <c r="O455">
        <v>35.51</v>
      </c>
      <c r="P455">
        <v>39.82</v>
      </c>
      <c r="Q455">
        <v>16.98</v>
      </c>
      <c r="R455">
        <v>19.010000000000002</v>
      </c>
      <c r="S455">
        <v>4.7</v>
      </c>
      <c r="T455">
        <v>3.21</v>
      </c>
      <c r="U455">
        <v>7.51</v>
      </c>
      <c r="V455">
        <v>2.37</v>
      </c>
      <c r="W455">
        <v>-59.11</v>
      </c>
      <c r="X455" t="s">
        <v>66</v>
      </c>
      <c r="Y455" t="s">
        <v>33</v>
      </c>
    </row>
    <row r="456" spans="1:25" x14ac:dyDescent="0.3">
      <c r="A456">
        <v>455</v>
      </c>
      <c r="B456" t="s">
        <v>117</v>
      </c>
      <c r="C456" t="s">
        <v>369</v>
      </c>
      <c r="D456" t="s">
        <v>109</v>
      </c>
      <c r="E456" t="s">
        <v>50</v>
      </c>
      <c r="F456">
        <v>1</v>
      </c>
      <c r="G456">
        <v>150</v>
      </c>
      <c r="H456">
        <v>150</v>
      </c>
      <c r="I456">
        <v>70</v>
      </c>
      <c r="J456">
        <v>70</v>
      </c>
      <c r="K456">
        <v>80</v>
      </c>
      <c r="L456" t="s">
        <v>37</v>
      </c>
      <c r="M456" t="s">
        <v>63</v>
      </c>
      <c r="N456" t="s">
        <v>81</v>
      </c>
      <c r="O456">
        <v>26.95</v>
      </c>
      <c r="P456">
        <v>40.74</v>
      </c>
      <c r="Q456">
        <v>11.8</v>
      </c>
      <c r="R456">
        <v>21.29</v>
      </c>
      <c r="S456">
        <v>2.42</v>
      </c>
      <c r="T456">
        <v>6.07</v>
      </c>
      <c r="U456">
        <v>5.41</v>
      </c>
      <c r="V456">
        <v>1.2</v>
      </c>
      <c r="W456">
        <v>-35.880000000000003</v>
      </c>
      <c r="X456" t="s">
        <v>57</v>
      </c>
      <c r="Y456" t="s">
        <v>33</v>
      </c>
    </row>
    <row r="457" spans="1:25" x14ac:dyDescent="0.3">
      <c r="A457">
        <v>456</v>
      </c>
      <c r="B457" t="s">
        <v>215</v>
      </c>
      <c r="C457" t="s">
        <v>471</v>
      </c>
      <c r="D457" t="s">
        <v>49</v>
      </c>
      <c r="E457" t="s">
        <v>50</v>
      </c>
      <c r="F457">
        <v>3</v>
      </c>
      <c r="G457">
        <v>180</v>
      </c>
      <c r="H457">
        <v>540</v>
      </c>
      <c r="I457">
        <v>90</v>
      </c>
      <c r="J457">
        <v>270</v>
      </c>
      <c r="K457">
        <v>270</v>
      </c>
      <c r="L457" t="s">
        <v>55</v>
      </c>
      <c r="M457" t="s">
        <v>30</v>
      </c>
      <c r="N457" t="s">
        <v>81</v>
      </c>
      <c r="O457">
        <v>25.28</v>
      </c>
      <c r="P457">
        <v>26.52</v>
      </c>
      <c r="Q457">
        <v>6.38</v>
      </c>
      <c r="R457">
        <v>34.549999999999997</v>
      </c>
      <c r="S457">
        <v>1.7</v>
      </c>
      <c r="T457">
        <v>9.59</v>
      </c>
      <c r="U457">
        <v>5.72</v>
      </c>
      <c r="V457">
        <v>2.04</v>
      </c>
      <c r="W457">
        <v>158.22</v>
      </c>
      <c r="X457" t="s">
        <v>66</v>
      </c>
      <c r="Y457" t="s">
        <v>33</v>
      </c>
    </row>
    <row r="458" spans="1:25" x14ac:dyDescent="0.3">
      <c r="A458">
        <v>457</v>
      </c>
      <c r="B458" t="s">
        <v>126</v>
      </c>
      <c r="C458" t="s">
        <v>465</v>
      </c>
      <c r="D458" t="s">
        <v>54</v>
      </c>
      <c r="E458" t="s">
        <v>28</v>
      </c>
      <c r="F458">
        <v>3</v>
      </c>
      <c r="G458">
        <v>120</v>
      </c>
      <c r="H458">
        <v>360</v>
      </c>
      <c r="I458">
        <v>50</v>
      </c>
      <c r="J458">
        <v>150</v>
      </c>
      <c r="K458">
        <v>210</v>
      </c>
      <c r="L458" t="s">
        <v>44</v>
      </c>
      <c r="M458" t="s">
        <v>45</v>
      </c>
      <c r="N458" t="s">
        <v>31</v>
      </c>
      <c r="O458">
        <v>18.399999999999999</v>
      </c>
      <c r="P458">
        <v>49.53</v>
      </c>
      <c r="Q458">
        <v>5.94</v>
      </c>
      <c r="R458">
        <v>11.34</v>
      </c>
      <c r="S458">
        <v>0.13</v>
      </c>
      <c r="T458">
        <v>7.41</v>
      </c>
      <c r="U458">
        <v>1.98</v>
      </c>
      <c r="V458">
        <v>2.4300000000000002</v>
      </c>
      <c r="W458">
        <v>112.84</v>
      </c>
      <c r="X458" t="s">
        <v>32</v>
      </c>
      <c r="Y458" t="s">
        <v>33</v>
      </c>
    </row>
    <row r="459" spans="1:25" x14ac:dyDescent="0.3">
      <c r="A459">
        <v>458</v>
      </c>
      <c r="B459" t="s">
        <v>291</v>
      </c>
      <c r="C459" t="s">
        <v>122</v>
      </c>
      <c r="D459" t="s">
        <v>49</v>
      </c>
      <c r="E459" t="s">
        <v>50</v>
      </c>
      <c r="F459">
        <v>2</v>
      </c>
      <c r="G459">
        <v>180</v>
      </c>
      <c r="H459">
        <v>360</v>
      </c>
      <c r="I459">
        <v>90</v>
      </c>
      <c r="J459">
        <v>180</v>
      </c>
      <c r="K459">
        <v>180</v>
      </c>
      <c r="L459" t="s">
        <v>29</v>
      </c>
      <c r="M459" t="s">
        <v>56</v>
      </c>
      <c r="N459" t="s">
        <v>90</v>
      </c>
      <c r="O459">
        <v>13.92</v>
      </c>
      <c r="P459">
        <v>36.99</v>
      </c>
      <c r="Q459">
        <v>19.93</v>
      </c>
      <c r="R459">
        <v>4.6100000000000003</v>
      </c>
      <c r="S459">
        <v>2.56</v>
      </c>
      <c r="T459">
        <v>8.42</v>
      </c>
      <c r="U459">
        <v>6.02</v>
      </c>
      <c r="V459">
        <v>0.88</v>
      </c>
      <c r="W459">
        <v>86.67</v>
      </c>
      <c r="X459" t="s">
        <v>66</v>
      </c>
      <c r="Y459" t="s">
        <v>33</v>
      </c>
    </row>
    <row r="460" spans="1:25" x14ac:dyDescent="0.3">
      <c r="A460">
        <v>459</v>
      </c>
      <c r="B460" t="s">
        <v>472</v>
      </c>
      <c r="C460" t="s">
        <v>288</v>
      </c>
      <c r="D460" t="s">
        <v>109</v>
      </c>
      <c r="E460" t="s">
        <v>50</v>
      </c>
      <c r="F460">
        <v>3</v>
      </c>
      <c r="G460">
        <v>150</v>
      </c>
      <c r="H460">
        <v>450</v>
      </c>
      <c r="I460">
        <v>70</v>
      </c>
      <c r="J460">
        <v>210</v>
      </c>
      <c r="K460">
        <v>240</v>
      </c>
      <c r="L460" t="s">
        <v>37</v>
      </c>
      <c r="M460" t="s">
        <v>38</v>
      </c>
      <c r="N460" t="s">
        <v>81</v>
      </c>
      <c r="O460">
        <v>30.06</v>
      </c>
      <c r="P460">
        <v>45.45</v>
      </c>
      <c r="Q460">
        <v>12.67</v>
      </c>
      <c r="R460">
        <v>32.29</v>
      </c>
      <c r="S460">
        <v>2.95</v>
      </c>
      <c r="T460">
        <v>5.71</v>
      </c>
      <c r="U460">
        <v>5.76</v>
      </c>
      <c r="V460">
        <v>2.19</v>
      </c>
      <c r="W460">
        <v>102.92</v>
      </c>
      <c r="X460" t="s">
        <v>57</v>
      </c>
      <c r="Y460" t="s">
        <v>40</v>
      </c>
    </row>
    <row r="461" spans="1:25" x14ac:dyDescent="0.3">
      <c r="A461">
        <v>460</v>
      </c>
      <c r="B461" t="s">
        <v>161</v>
      </c>
      <c r="C461" t="s">
        <v>192</v>
      </c>
      <c r="D461" t="s">
        <v>89</v>
      </c>
      <c r="E461" t="s">
        <v>28</v>
      </c>
      <c r="F461">
        <v>1</v>
      </c>
      <c r="G461">
        <v>180</v>
      </c>
      <c r="H461">
        <v>180</v>
      </c>
      <c r="I461">
        <v>75</v>
      </c>
      <c r="J461">
        <v>75</v>
      </c>
      <c r="K461">
        <v>105</v>
      </c>
      <c r="L461" t="s">
        <v>55</v>
      </c>
      <c r="M461" t="s">
        <v>45</v>
      </c>
      <c r="N461" t="s">
        <v>90</v>
      </c>
      <c r="O461">
        <v>24.2</v>
      </c>
      <c r="P461">
        <v>53.82</v>
      </c>
      <c r="Q461">
        <v>19.72</v>
      </c>
      <c r="R461">
        <v>21.96</v>
      </c>
      <c r="S461">
        <v>1.61</v>
      </c>
      <c r="T461">
        <v>6.04</v>
      </c>
      <c r="U461">
        <v>3.69</v>
      </c>
      <c r="V461">
        <v>2.79</v>
      </c>
      <c r="W461">
        <v>-28.83</v>
      </c>
      <c r="X461" t="s">
        <v>32</v>
      </c>
      <c r="Y461" t="s">
        <v>40</v>
      </c>
    </row>
    <row r="462" spans="1:25" x14ac:dyDescent="0.3">
      <c r="A462">
        <v>461</v>
      </c>
      <c r="B462" t="s">
        <v>99</v>
      </c>
      <c r="C462" t="s">
        <v>473</v>
      </c>
      <c r="D462" t="s">
        <v>49</v>
      </c>
      <c r="E462" t="s">
        <v>50</v>
      </c>
      <c r="F462">
        <v>3</v>
      </c>
      <c r="G462">
        <v>180</v>
      </c>
      <c r="H462">
        <v>540</v>
      </c>
      <c r="I462">
        <v>90</v>
      </c>
      <c r="J462">
        <v>270</v>
      </c>
      <c r="K462">
        <v>270</v>
      </c>
      <c r="L462" t="s">
        <v>29</v>
      </c>
      <c r="M462" t="s">
        <v>38</v>
      </c>
      <c r="N462" t="s">
        <v>39</v>
      </c>
      <c r="O462">
        <v>37.33</v>
      </c>
      <c r="P462">
        <v>29.91</v>
      </c>
      <c r="Q462">
        <v>7.8</v>
      </c>
      <c r="R462">
        <v>12.73</v>
      </c>
      <c r="S462">
        <v>4.41</v>
      </c>
      <c r="T462">
        <v>14.61</v>
      </c>
      <c r="U462">
        <v>5.35</v>
      </c>
      <c r="V462">
        <v>2.37</v>
      </c>
      <c r="W462">
        <v>155.49</v>
      </c>
      <c r="X462" t="s">
        <v>66</v>
      </c>
      <c r="Y462" t="s">
        <v>33</v>
      </c>
    </row>
    <row r="463" spans="1:25" x14ac:dyDescent="0.3">
      <c r="A463">
        <v>462</v>
      </c>
      <c r="B463" t="s">
        <v>264</v>
      </c>
      <c r="C463" t="s">
        <v>474</v>
      </c>
      <c r="D463" t="s">
        <v>89</v>
      </c>
      <c r="E463" t="s">
        <v>28</v>
      </c>
      <c r="F463">
        <v>1</v>
      </c>
      <c r="G463">
        <v>180</v>
      </c>
      <c r="H463">
        <v>180</v>
      </c>
      <c r="I463">
        <v>75</v>
      </c>
      <c r="J463">
        <v>75</v>
      </c>
      <c r="K463">
        <v>105</v>
      </c>
      <c r="L463" t="s">
        <v>86</v>
      </c>
      <c r="M463" t="s">
        <v>63</v>
      </c>
      <c r="N463" t="s">
        <v>90</v>
      </c>
      <c r="O463">
        <v>39.380000000000003</v>
      </c>
      <c r="P463">
        <v>27.09</v>
      </c>
      <c r="Q463">
        <v>10.11</v>
      </c>
      <c r="R463">
        <v>28.94</v>
      </c>
      <c r="S463">
        <v>2.5</v>
      </c>
      <c r="T463">
        <v>6.5</v>
      </c>
      <c r="U463">
        <v>3.83</v>
      </c>
      <c r="V463">
        <v>2</v>
      </c>
      <c r="W463">
        <v>-15.35</v>
      </c>
      <c r="X463" t="s">
        <v>32</v>
      </c>
      <c r="Y463" t="s">
        <v>33</v>
      </c>
    </row>
    <row r="464" spans="1:25" x14ac:dyDescent="0.3">
      <c r="A464">
        <v>463</v>
      </c>
      <c r="B464" t="s">
        <v>475</v>
      </c>
      <c r="C464" t="s">
        <v>85</v>
      </c>
      <c r="D464" t="s">
        <v>89</v>
      </c>
      <c r="E464" t="s">
        <v>28</v>
      </c>
      <c r="F464">
        <v>4</v>
      </c>
      <c r="G464">
        <v>180</v>
      </c>
      <c r="H464">
        <v>720</v>
      </c>
      <c r="I464">
        <v>75</v>
      </c>
      <c r="J464">
        <v>300</v>
      </c>
      <c r="K464">
        <v>420</v>
      </c>
      <c r="L464" t="s">
        <v>44</v>
      </c>
      <c r="M464" t="s">
        <v>63</v>
      </c>
      <c r="N464" t="s">
        <v>81</v>
      </c>
      <c r="O464">
        <v>28.74</v>
      </c>
      <c r="P464">
        <v>53.84</v>
      </c>
      <c r="Q464">
        <v>9</v>
      </c>
      <c r="R464">
        <v>28.43</v>
      </c>
      <c r="S464">
        <v>0.94</v>
      </c>
      <c r="T464">
        <v>12.3</v>
      </c>
      <c r="U464">
        <v>7.99</v>
      </c>
      <c r="V464">
        <v>2.77</v>
      </c>
      <c r="W464">
        <v>275.99</v>
      </c>
      <c r="X464" t="s">
        <v>57</v>
      </c>
      <c r="Y464" t="s">
        <v>40</v>
      </c>
    </row>
    <row r="465" spans="1:25" x14ac:dyDescent="0.3">
      <c r="A465">
        <v>464</v>
      </c>
      <c r="B465" t="s">
        <v>73</v>
      </c>
      <c r="C465" t="s">
        <v>131</v>
      </c>
      <c r="D465" t="s">
        <v>43</v>
      </c>
      <c r="E465" t="s">
        <v>43</v>
      </c>
      <c r="F465">
        <v>1</v>
      </c>
      <c r="G465">
        <v>80</v>
      </c>
      <c r="H465">
        <v>80</v>
      </c>
      <c r="I465">
        <v>30</v>
      </c>
      <c r="J465">
        <v>30</v>
      </c>
      <c r="K465">
        <v>50</v>
      </c>
      <c r="L465" t="s">
        <v>55</v>
      </c>
      <c r="M465" t="s">
        <v>63</v>
      </c>
      <c r="N465" t="s">
        <v>90</v>
      </c>
      <c r="O465">
        <v>10.26</v>
      </c>
      <c r="P465">
        <v>18.23</v>
      </c>
      <c r="Q465">
        <v>10.5</v>
      </c>
      <c r="R465">
        <v>13.3</v>
      </c>
      <c r="S465">
        <v>3.07</v>
      </c>
      <c r="T465">
        <v>4.1500000000000004</v>
      </c>
      <c r="U465">
        <v>3.76</v>
      </c>
      <c r="V465">
        <v>2.23</v>
      </c>
      <c r="W465">
        <v>-15.5</v>
      </c>
      <c r="X465" t="s">
        <v>32</v>
      </c>
      <c r="Y465" t="s">
        <v>33</v>
      </c>
    </row>
    <row r="466" spans="1:25" x14ac:dyDescent="0.3">
      <c r="A466">
        <v>465</v>
      </c>
      <c r="B466" t="s">
        <v>69</v>
      </c>
      <c r="C466" t="s">
        <v>156</v>
      </c>
      <c r="D466" t="s">
        <v>36</v>
      </c>
      <c r="E466" t="s">
        <v>28</v>
      </c>
      <c r="F466">
        <v>3</v>
      </c>
      <c r="G466">
        <v>220</v>
      </c>
      <c r="H466">
        <v>660</v>
      </c>
      <c r="I466">
        <v>100</v>
      </c>
      <c r="J466">
        <v>300</v>
      </c>
      <c r="K466">
        <v>360</v>
      </c>
      <c r="L466" t="s">
        <v>86</v>
      </c>
      <c r="M466" t="s">
        <v>30</v>
      </c>
      <c r="N466" t="s">
        <v>31</v>
      </c>
      <c r="O466">
        <v>22.34</v>
      </c>
      <c r="P466">
        <v>55.98</v>
      </c>
      <c r="Q466">
        <v>6.22</v>
      </c>
      <c r="R466">
        <v>21.51</v>
      </c>
      <c r="S466">
        <v>3.79</v>
      </c>
      <c r="T466">
        <v>12.09</v>
      </c>
      <c r="U466">
        <v>1.83</v>
      </c>
      <c r="V466">
        <v>2.29</v>
      </c>
      <c r="W466">
        <v>233.95</v>
      </c>
      <c r="X466" t="s">
        <v>66</v>
      </c>
      <c r="Y466" t="s">
        <v>40</v>
      </c>
    </row>
    <row r="467" spans="1:25" x14ac:dyDescent="0.3">
      <c r="A467">
        <v>466</v>
      </c>
      <c r="B467" t="s">
        <v>172</v>
      </c>
      <c r="C467" t="s">
        <v>469</v>
      </c>
      <c r="D467" t="s">
        <v>43</v>
      </c>
      <c r="E467" t="s">
        <v>43</v>
      </c>
      <c r="F467">
        <v>4</v>
      </c>
      <c r="G467">
        <v>80</v>
      </c>
      <c r="H467">
        <v>320</v>
      </c>
      <c r="I467">
        <v>30</v>
      </c>
      <c r="J467">
        <v>120</v>
      </c>
      <c r="K467">
        <v>200</v>
      </c>
      <c r="L467" t="s">
        <v>37</v>
      </c>
      <c r="M467" t="s">
        <v>30</v>
      </c>
      <c r="N467" t="s">
        <v>90</v>
      </c>
      <c r="O467">
        <v>29.25</v>
      </c>
      <c r="P467">
        <v>36.83</v>
      </c>
      <c r="Q467">
        <v>7.07</v>
      </c>
      <c r="R467">
        <v>7.18</v>
      </c>
      <c r="S467">
        <v>0.43</v>
      </c>
      <c r="T467">
        <v>9.9</v>
      </c>
      <c r="U467">
        <v>3.34</v>
      </c>
      <c r="V467">
        <v>2.95</v>
      </c>
      <c r="W467">
        <v>103.05</v>
      </c>
      <c r="X467" t="s">
        <v>32</v>
      </c>
      <c r="Y467" t="s">
        <v>40</v>
      </c>
    </row>
    <row r="468" spans="1:25" x14ac:dyDescent="0.3">
      <c r="A468">
        <v>467</v>
      </c>
      <c r="B468" t="s">
        <v>87</v>
      </c>
      <c r="C468" t="s">
        <v>175</v>
      </c>
      <c r="D468" t="s">
        <v>109</v>
      </c>
      <c r="E468" t="s">
        <v>50</v>
      </c>
      <c r="F468">
        <v>2</v>
      </c>
      <c r="G468">
        <v>150</v>
      </c>
      <c r="H468">
        <v>300</v>
      </c>
      <c r="I468">
        <v>70</v>
      </c>
      <c r="J468">
        <v>140</v>
      </c>
      <c r="K468">
        <v>160</v>
      </c>
      <c r="L468" t="s">
        <v>29</v>
      </c>
      <c r="M468" t="s">
        <v>56</v>
      </c>
      <c r="N468" t="s">
        <v>31</v>
      </c>
      <c r="O468">
        <v>17.239999999999998</v>
      </c>
      <c r="P468">
        <v>33.5</v>
      </c>
      <c r="Q468">
        <v>6.26</v>
      </c>
      <c r="R468">
        <v>27.1</v>
      </c>
      <c r="S468">
        <v>1.73</v>
      </c>
      <c r="T468">
        <v>2.4</v>
      </c>
      <c r="U468">
        <v>4.42</v>
      </c>
      <c r="V468">
        <v>2.79</v>
      </c>
      <c r="W468">
        <v>64.56</v>
      </c>
      <c r="X468" t="s">
        <v>66</v>
      </c>
      <c r="Y468" t="s">
        <v>33</v>
      </c>
    </row>
    <row r="469" spans="1:25" x14ac:dyDescent="0.3">
      <c r="A469">
        <v>468</v>
      </c>
      <c r="B469" t="s">
        <v>398</v>
      </c>
      <c r="C469" t="s">
        <v>476</v>
      </c>
      <c r="D469" t="s">
        <v>27</v>
      </c>
      <c r="E469" t="s">
        <v>28</v>
      </c>
      <c r="F469">
        <v>1</v>
      </c>
      <c r="G469">
        <v>200</v>
      </c>
      <c r="H469">
        <v>200</v>
      </c>
      <c r="I469">
        <v>90</v>
      </c>
      <c r="J469">
        <v>90</v>
      </c>
      <c r="K469">
        <v>110</v>
      </c>
      <c r="L469" t="s">
        <v>55</v>
      </c>
      <c r="M469" t="s">
        <v>63</v>
      </c>
      <c r="N469" t="s">
        <v>31</v>
      </c>
      <c r="O469">
        <v>16.47</v>
      </c>
      <c r="P469">
        <v>19.829999999999998</v>
      </c>
      <c r="Q469">
        <v>10.26</v>
      </c>
      <c r="R469">
        <v>13.51</v>
      </c>
      <c r="S469">
        <v>1.44</v>
      </c>
      <c r="T469">
        <v>7.46</v>
      </c>
      <c r="U469">
        <v>6.56</v>
      </c>
      <c r="V469">
        <v>1.1299999999999999</v>
      </c>
      <c r="W469">
        <v>33.340000000000003</v>
      </c>
      <c r="X469" t="s">
        <v>57</v>
      </c>
      <c r="Y469" t="s">
        <v>33</v>
      </c>
    </row>
    <row r="470" spans="1:25" x14ac:dyDescent="0.3">
      <c r="A470">
        <v>469</v>
      </c>
      <c r="B470" t="s">
        <v>426</v>
      </c>
      <c r="C470" t="s">
        <v>411</v>
      </c>
      <c r="D470" t="s">
        <v>27</v>
      </c>
      <c r="E470" t="s">
        <v>28</v>
      </c>
      <c r="F470">
        <v>3</v>
      </c>
      <c r="G470">
        <v>200</v>
      </c>
      <c r="H470">
        <v>600</v>
      </c>
      <c r="I470">
        <v>90</v>
      </c>
      <c r="J470">
        <v>270</v>
      </c>
      <c r="K470">
        <v>330</v>
      </c>
      <c r="L470" t="s">
        <v>37</v>
      </c>
      <c r="M470" t="s">
        <v>56</v>
      </c>
      <c r="N470" t="s">
        <v>51</v>
      </c>
      <c r="O470">
        <v>16.53</v>
      </c>
      <c r="P470">
        <v>48</v>
      </c>
      <c r="Q470">
        <v>14.11</v>
      </c>
      <c r="R470">
        <v>25.9</v>
      </c>
      <c r="S470">
        <v>4.71</v>
      </c>
      <c r="T470">
        <v>4.67</v>
      </c>
      <c r="U470">
        <v>1.66</v>
      </c>
      <c r="V470">
        <v>1.19</v>
      </c>
      <c r="W470">
        <v>213.23</v>
      </c>
      <c r="X470" t="s">
        <v>66</v>
      </c>
      <c r="Y470" t="s">
        <v>40</v>
      </c>
    </row>
    <row r="471" spans="1:25" x14ac:dyDescent="0.3">
      <c r="A471">
        <v>470</v>
      </c>
      <c r="B471" t="s">
        <v>115</v>
      </c>
      <c r="C471" t="s">
        <v>410</v>
      </c>
      <c r="D471" t="s">
        <v>62</v>
      </c>
      <c r="E471" t="s">
        <v>28</v>
      </c>
      <c r="F471">
        <v>2</v>
      </c>
      <c r="G471">
        <v>250</v>
      </c>
      <c r="H471">
        <v>500</v>
      </c>
      <c r="I471">
        <v>110</v>
      </c>
      <c r="J471">
        <v>220</v>
      </c>
      <c r="K471">
        <v>280</v>
      </c>
      <c r="L471" t="s">
        <v>44</v>
      </c>
      <c r="M471" t="s">
        <v>56</v>
      </c>
      <c r="N471" t="s">
        <v>90</v>
      </c>
      <c r="O471">
        <v>10.69</v>
      </c>
      <c r="P471">
        <v>42.27</v>
      </c>
      <c r="Q471">
        <v>13.85</v>
      </c>
      <c r="R471">
        <v>29.28</v>
      </c>
      <c r="S471">
        <v>1.35</v>
      </c>
      <c r="T471">
        <v>11.59</v>
      </c>
      <c r="U471">
        <v>7.86</v>
      </c>
      <c r="V471">
        <v>1.1200000000000001</v>
      </c>
      <c r="W471">
        <v>161.99</v>
      </c>
      <c r="X471" t="s">
        <v>57</v>
      </c>
      <c r="Y471" t="s">
        <v>33</v>
      </c>
    </row>
    <row r="472" spans="1:25" x14ac:dyDescent="0.3">
      <c r="A472">
        <v>471</v>
      </c>
      <c r="B472" t="s">
        <v>376</v>
      </c>
      <c r="C472" t="s">
        <v>442</v>
      </c>
      <c r="D472" t="s">
        <v>54</v>
      </c>
      <c r="E472" t="s">
        <v>28</v>
      </c>
      <c r="F472">
        <v>4</v>
      </c>
      <c r="G472">
        <v>120</v>
      </c>
      <c r="H472">
        <v>480</v>
      </c>
      <c r="I472">
        <v>50</v>
      </c>
      <c r="J472">
        <v>200</v>
      </c>
      <c r="K472">
        <v>280</v>
      </c>
      <c r="L472" t="s">
        <v>44</v>
      </c>
      <c r="M472" t="s">
        <v>63</v>
      </c>
      <c r="N472" t="s">
        <v>46</v>
      </c>
      <c r="O472">
        <v>38.82</v>
      </c>
      <c r="P472">
        <v>22.3</v>
      </c>
      <c r="Q472">
        <v>18.86</v>
      </c>
      <c r="R472">
        <v>19.760000000000002</v>
      </c>
      <c r="S472">
        <v>1.2</v>
      </c>
      <c r="T472">
        <v>5.39</v>
      </c>
      <c r="U472">
        <v>6.27</v>
      </c>
      <c r="V472">
        <v>1.84</v>
      </c>
      <c r="W472">
        <v>165.56</v>
      </c>
      <c r="X472" t="s">
        <v>32</v>
      </c>
      <c r="Y472" t="s">
        <v>40</v>
      </c>
    </row>
    <row r="473" spans="1:25" x14ac:dyDescent="0.3">
      <c r="A473">
        <v>472</v>
      </c>
      <c r="B473" t="s">
        <v>145</v>
      </c>
      <c r="C473" t="s">
        <v>235</v>
      </c>
      <c r="D473" t="s">
        <v>36</v>
      </c>
      <c r="E473" t="s">
        <v>28</v>
      </c>
      <c r="F473">
        <v>2</v>
      </c>
      <c r="G473">
        <v>220</v>
      </c>
      <c r="H473">
        <v>440</v>
      </c>
      <c r="I473">
        <v>100</v>
      </c>
      <c r="J473">
        <v>200</v>
      </c>
      <c r="K473">
        <v>240</v>
      </c>
      <c r="L473" t="s">
        <v>29</v>
      </c>
      <c r="M473" t="s">
        <v>30</v>
      </c>
      <c r="N473" t="s">
        <v>51</v>
      </c>
      <c r="O473">
        <v>25.03</v>
      </c>
      <c r="P473">
        <v>17.940000000000001</v>
      </c>
      <c r="Q473">
        <v>9.4700000000000006</v>
      </c>
      <c r="R473">
        <v>11.68</v>
      </c>
      <c r="S473">
        <v>2.82</v>
      </c>
      <c r="T473">
        <v>7.74</v>
      </c>
      <c r="U473">
        <v>2.4</v>
      </c>
      <c r="V473">
        <v>2.68</v>
      </c>
      <c r="W473">
        <v>160.24</v>
      </c>
      <c r="X473" t="s">
        <v>57</v>
      </c>
      <c r="Y473" t="s">
        <v>33</v>
      </c>
    </row>
    <row r="474" spans="1:25" x14ac:dyDescent="0.3">
      <c r="A474">
        <v>473</v>
      </c>
      <c r="B474" t="s">
        <v>135</v>
      </c>
      <c r="C474" t="s">
        <v>108</v>
      </c>
      <c r="D474" t="s">
        <v>49</v>
      </c>
      <c r="E474" t="s">
        <v>50</v>
      </c>
      <c r="F474">
        <v>1</v>
      </c>
      <c r="G474">
        <v>180</v>
      </c>
      <c r="H474">
        <v>180</v>
      </c>
      <c r="I474">
        <v>90</v>
      </c>
      <c r="J474">
        <v>90</v>
      </c>
      <c r="K474">
        <v>90</v>
      </c>
      <c r="L474" t="s">
        <v>44</v>
      </c>
      <c r="M474" t="s">
        <v>30</v>
      </c>
      <c r="N474" t="s">
        <v>31</v>
      </c>
      <c r="O474">
        <v>11.11</v>
      </c>
      <c r="P474">
        <v>52.63</v>
      </c>
      <c r="Q474">
        <v>19.57</v>
      </c>
      <c r="R474">
        <v>19.23</v>
      </c>
      <c r="S474">
        <v>2.9</v>
      </c>
      <c r="T474">
        <v>7.53</v>
      </c>
      <c r="U474">
        <v>4.1500000000000004</v>
      </c>
      <c r="V474">
        <v>0.91</v>
      </c>
      <c r="W474">
        <v>-28.03</v>
      </c>
      <c r="X474" t="s">
        <v>66</v>
      </c>
      <c r="Y474" t="s">
        <v>40</v>
      </c>
    </row>
    <row r="475" spans="1:25" x14ac:dyDescent="0.3">
      <c r="A475">
        <v>474</v>
      </c>
      <c r="B475" t="s">
        <v>327</v>
      </c>
      <c r="C475" t="s">
        <v>260</v>
      </c>
      <c r="D475" t="s">
        <v>89</v>
      </c>
      <c r="E475" t="s">
        <v>28</v>
      </c>
      <c r="F475">
        <v>3</v>
      </c>
      <c r="G475">
        <v>180</v>
      </c>
      <c r="H475">
        <v>540</v>
      </c>
      <c r="I475">
        <v>75</v>
      </c>
      <c r="J475">
        <v>225</v>
      </c>
      <c r="K475">
        <v>315</v>
      </c>
      <c r="L475" t="s">
        <v>29</v>
      </c>
      <c r="M475" t="s">
        <v>38</v>
      </c>
      <c r="N475" t="s">
        <v>46</v>
      </c>
      <c r="O475">
        <v>30.32</v>
      </c>
      <c r="P475">
        <v>43.05</v>
      </c>
      <c r="Q475">
        <v>19.53</v>
      </c>
      <c r="R475">
        <v>0.63</v>
      </c>
      <c r="S475">
        <v>0.1</v>
      </c>
      <c r="T475">
        <v>11.75</v>
      </c>
      <c r="U475">
        <v>5.78</v>
      </c>
      <c r="V475">
        <v>1.96</v>
      </c>
      <c r="W475">
        <v>201.88</v>
      </c>
      <c r="X475" t="s">
        <v>57</v>
      </c>
      <c r="Y475" t="s">
        <v>40</v>
      </c>
    </row>
    <row r="476" spans="1:25" x14ac:dyDescent="0.3">
      <c r="A476">
        <v>475</v>
      </c>
      <c r="B476" t="s">
        <v>203</v>
      </c>
      <c r="C476" t="s">
        <v>48</v>
      </c>
      <c r="D476" t="s">
        <v>54</v>
      </c>
      <c r="E476" t="s">
        <v>28</v>
      </c>
      <c r="F476">
        <v>2</v>
      </c>
      <c r="G476">
        <v>120</v>
      </c>
      <c r="H476">
        <v>240</v>
      </c>
      <c r="I476">
        <v>50</v>
      </c>
      <c r="J476">
        <v>100</v>
      </c>
      <c r="K476">
        <v>140</v>
      </c>
      <c r="L476" t="s">
        <v>44</v>
      </c>
      <c r="M476" t="s">
        <v>30</v>
      </c>
      <c r="N476" t="s">
        <v>39</v>
      </c>
      <c r="O476">
        <v>24.58</v>
      </c>
      <c r="P476">
        <v>42.46</v>
      </c>
      <c r="Q476">
        <v>11.57</v>
      </c>
      <c r="R476">
        <v>16.79</v>
      </c>
      <c r="S476">
        <v>3.59</v>
      </c>
      <c r="T476">
        <v>5.0599999999999996</v>
      </c>
      <c r="U476">
        <v>6.63</v>
      </c>
      <c r="V476">
        <v>0.37</v>
      </c>
      <c r="W476">
        <v>28.95</v>
      </c>
      <c r="X476" t="s">
        <v>32</v>
      </c>
      <c r="Y476" t="s">
        <v>40</v>
      </c>
    </row>
    <row r="477" spans="1:25" x14ac:dyDescent="0.3">
      <c r="A477">
        <v>476</v>
      </c>
      <c r="B477" t="s">
        <v>284</v>
      </c>
      <c r="C477" t="s">
        <v>477</v>
      </c>
      <c r="D477" t="s">
        <v>49</v>
      </c>
      <c r="E477" t="s">
        <v>50</v>
      </c>
      <c r="F477">
        <v>3</v>
      </c>
      <c r="G477">
        <v>180</v>
      </c>
      <c r="H477">
        <v>540</v>
      </c>
      <c r="I477">
        <v>90</v>
      </c>
      <c r="J477">
        <v>270</v>
      </c>
      <c r="K477">
        <v>270</v>
      </c>
      <c r="L477" t="s">
        <v>55</v>
      </c>
      <c r="M477" t="s">
        <v>63</v>
      </c>
      <c r="N477" t="s">
        <v>31</v>
      </c>
      <c r="O477">
        <v>24.57</v>
      </c>
      <c r="P477">
        <v>33.81</v>
      </c>
      <c r="Q477">
        <v>6.21</v>
      </c>
      <c r="R477">
        <v>19.510000000000002</v>
      </c>
      <c r="S477">
        <v>4.45</v>
      </c>
      <c r="T477">
        <v>5.42</v>
      </c>
      <c r="U477">
        <v>1.91</v>
      </c>
      <c r="V477">
        <v>0.86</v>
      </c>
      <c r="W477">
        <v>173.26</v>
      </c>
      <c r="X477" t="s">
        <v>32</v>
      </c>
      <c r="Y477" t="s">
        <v>33</v>
      </c>
    </row>
    <row r="478" spans="1:25" x14ac:dyDescent="0.3">
      <c r="A478">
        <v>477</v>
      </c>
      <c r="B478" t="s">
        <v>478</v>
      </c>
      <c r="C478" t="s">
        <v>206</v>
      </c>
      <c r="D478" t="s">
        <v>109</v>
      </c>
      <c r="E478" t="s">
        <v>50</v>
      </c>
      <c r="F478">
        <v>4</v>
      </c>
      <c r="G478">
        <v>150</v>
      </c>
      <c r="H478">
        <v>600</v>
      </c>
      <c r="I478">
        <v>70</v>
      </c>
      <c r="J478">
        <v>280</v>
      </c>
      <c r="K478">
        <v>320</v>
      </c>
      <c r="L478" t="s">
        <v>86</v>
      </c>
      <c r="M478" t="s">
        <v>30</v>
      </c>
      <c r="N478" t="s">
        <v>31</v>
      </c>
      <c r="O478">
        <v>32.130000000000003</v>
      </c>
      <c r="P478">
        <v>29.22</v>
      </c>
      <c r="Q478">
        <v>9.9</v>
      </c>
      <c r="R478">
        <v>2.63</v>
      </c>
      <c r="S478">
        <v>2.92</v>
      </c>
      <c r="T478">
        <v>12.52</v>
      </c>
      <c r="U478">
        <v>5.58</v>
      </c>
      <c r="V478">
        <v>2.16</v>
      </c>
      <c r="W478">
        <v>222.94</v>
      </c>
      <c r="X478" t="s">
        <v>66</v>
      </c>
      <c r="Y478" t="s">
        <v>33</v>
      </c>
    </row>
    <row r="479" spans="1:25" x14ac:dyDescent="0.3">
      <c r="A479">
        <v>478</v>
      </c>
      <c r="B479" t="s">
        <v>301</v>
      </c>
      <c r="C479" t="s">
        <v>479</v>
      </c>
      <c r="D479" t="s">
        <v>36</v>
      </c>
      <c r="E479" t="s">
        <v>28</v>
      </c>
      <c r="F479">
        <v>4</v>
      </c>
      <c r="G479">
        <v>220</v>
      </c>
      <c r="H479">
        <v>880</v>
      </c>
      <c r="I479">
        <v>100</v>
      </c>
      <c r="J479">
        <v>400</v>
      </c>
      <c r="K479">
        <v>480</v>
      </c>
      <c r="L479" t="s">
        <v>29</v>
      </c>
      <c r="M479" t="s">
        <v>30</v>
      </c>
      <c r="N479" t="s">
        <v>31</v>
      </c>
      <c r="O479">
        <v>12.24</v>
      </c>
      <c r="P479">
        <v>17.41</v>
      </c>
      <c r="Q479">
        <v>19.22</v>
      </c>
      <c r="R479">
        <v>14.77</v>
      </c>
      <c r="S479">
        <v>0.8</v>
      </c>
      <c r="T479">
        <v>9.11</v>
      </c>
      <c r="U479">
        <v>5.07</v>
      </c>
      <c r="V479">
        <v>1.07</v>
      </c>
      <c r="W479">
        <v>400.31</v>
      </c>
      <c r="X479" t="s">
        <v>32</v>
      </c>
      <c r="Y479" t="s">
        <v>40</v>
      </c>
    </row>
    <row r="480" spans="1:25" x14ac:dyDescent="0.3">
      <c r="A480">
        <v>479</v>
      </c>
      <c r="B480" t="s">
        <v>219</v>
      </c>
      <c r="C480" t="s">
        <v>127</v>
      </c>
      <c r="D480" t="s">
        <v>54</v>
      </c>
      <c r="E480" t="s">
        <v>28</v>
      </c>
      <c r="F480">
        <v>4</v>
      </c>
      <c r="G480">
        <v>120</v>
      </c>
      <c r="H480">
        <v>480</v>
      </c>
      <c r="I480">
        <v>50</v>
      </c>
      <c r="J480">
        <v>200</v>
      </c>
      <c r="K480">
        <v>280</v>
      </c>
      <c r="L480" t="s">
        <v>44</v>
      </c>
      <c r="M480" t="s">
        <v>56</v>
      </c>
      <c r="N480" t="s">
        <v>46</v>
      </c>
      <c r="O480">
        <v>33.65</v>
      </c>
      <c r="P480">
        <v>37.19</v>
      </c>
      <c r="Q480">
        <v>12.16</v>
      </c>
      <c r="R480">
        <v>25.48</v>
      </c>
      <c r="S480">
        <v>1.07</v>
      </c>
      <c r="T480">
        <v>14.59</v>
      </c>
      <c r="U480">
        <v>7.89</v>
      </c>
      <c r="V480">
        <v>2.4500000000000002</v>
      </c>
      <c r="W480">
        <v>145.52000000000001</v>
      </c>
      <c r="X480" t="s">
        <v>66</v>
      </c>
      <c r="Y480" t="s">
        <v>40</v>
      </c>
    </row>
    <row r="481" spans="1:25" x14ac:dyDescent="0.3">
      <c r="A481">
        <v>480</v>
      </c>
      <c r="B481" t="s">
        <v>419</v>
      </c>
      <c r="C481" t="s">
        <v>480</v>
      </c>
      <c r="D481" t="s">
        <v>49</v>
      </c>
      <c r="E481" t="s">
        <v>50</v>
      </c>
      <c r="F481">
        <v>1</v>
      </c>
      <c r="G481">
        <v>180</v>
      </c>
      <c r="H481">
        <v>180</v>
      </c>
      <c r="I481">
        <v>90</v>
      </c>
      <c r="J481">
        <v>90</v>
      </c>
      <c r="K481">
        <v>90</v>
      </c>
      <c r="L481" t="s">
        <v>29</v>
      </c>
      <c r="M481" t="s">
        <v>63</v>
      </c>
      <c r="N481" t="s">
        <v>39</v>
      </c>
      <c r="O481">
        <v>32.35</v>
      </c>
      <c r="P481">
        <v>27.62</v>
      </c>
      <c r="Q481">
        <v>11</v>
      </c>
      <c r="R481">
        <v>27.67</v>
      </c>
      <c r="S481">
        <v>4.82</v>
      </c>
      <c r="T481">
        <v>12.95</v>
      </c>
      <c r="U481">
        <v>7.5</v>
      </c>
      <c r="V481">
        <v>1.28</v>
      </c>
      <c r="W481">
        <v>-35.19</v>
      </c>
      <c r="X481" t="s">
        <v>57</v>
      </c>
      <c r="Y481" t="s">
        <v>40</v>
      </c>
    </row>
    <row r="482" spans="1:25" x14ac:dyDescent="0.3">
      <c r="A482">
        <v>481</v>
      </c>
      <c r="B482" t="s">
        <v>177</v>
      </c>
      <c r="C482" t="s">
        <v>347</v>
      </c>
      <c r="D482" t="s">
        <v>27</v>
      </c>
      <c r="E482" t="s">
        <v>28</v>
      </c>
      <c r="F482">
        <v>1</v>
      </c>
      <c r="G482">
        <v>200</v>
      </c>
      <c r="H482">
        <v>200</v>
      </c>
      <c r="I482">
        <v>90</v>
      </c>
      <c r="J482">
        <v>90</v>
      </c>
      <c r="K482">
        <v>110</v>
      </c>
      <c r="L482" t="s">
        <v>37</v>
      </c>
      <c r="M482" t="s">
        <v>45</v>
      </c>
      <c r="N482" t="s">
        <v>51</v>
      </c>
      <c r="O482">
        <v>38.799999999999997</v>
      </c>
      <c r="P482">
        <v>35.94</v>
      </c>
      <c r="Q482">
        <v>9.25</v>
      </c>
      <c r="R482">
        <v>16.72</v>
      </c>
      <c r="S482">
        <v>2.88</v>
      </c>
      <c r="T482">
        <v>13.96</v>
      </c>
      <c r="U482">
        <v>4.97</v>
      </c>
      <c r="V482">
        <v>0.56000000000000005</v>
      </c>
      <c r="W482">
        <v>-13.08</v>
      </c>
      <c r="X482" t="s">
        <v>57</v>
      </c>
      <c r="Y482" t="s">
        <v>33</v>
      </c>
    </row>
    <row r="483" spans="1:25" x14ac:dyDescent="0.3">
      <c r="A483">
        <v>482</v>
      </c>
      <c r="B483" t="s">
        <v>284</v>
      </c>
      <c r="C483" t="s">
        <v>481</v>
      </c>
      <c r="D483" t="s">
        <v>27</v>
      </c>
      <c r="E483" t="s">
        <v>28</v>
      </c>
      <c r="F483">
        <v>1</v>
      </c>
      <c r="G483">
        <v>200</v>
      </c>
      <c r="H483">
        <v>200</v>
      </c>
      <c r="I483">
        <v>90</v>
      </c>
      <c r="J483">
        <v>90</v>
      </c>
      <c r="K483">
        <v>110</v>
      </c>
      <c r="L483" t="s">
        <v>44</v>
      </c>
      <c r="M483" t="s">
        <v>45</v>
      </c>
      <c r="N483" t="s">
        <v>39</v>
      </c>
      <c r="O483">
        <v>21.77</v>
      </c>
      <c r="P483">
        <v>17.440000000000001</v>
      </c>
      <c r="Q483">
        <v>8.16</v>
      </c>
      <c r="R483">
        <v>30.1</v>
      </c>
      <c r="S483">
        <v>0.18</v>
      </c>
      <c r="T483">
        <v>3.87</v>
      </c>
      <c r="U483">
        <v>7.82</v>
      </c>
      <c r="V483">
        <v>0.46</v>
      </c>
      <c r="W483">
        <v>20.2</v>
      </c>
      <c r="X483" t="s">
        <v>32</v>
      </c>
      <c r="Y483" t="s">
        <v>33</v>
      </c>
    </row>
    <row r="484" spans="1:25" x14ac:dyDescent="0.3">
      <c r="A484">
        <v>483</v>
      </c>
      <c r="B484" t="s">
        <v>213</v>
      </c>
      <c r="C484" t="s">
        <v>122</v>
      </c>
      <c r="D484" t="s">
        <v>89</v>
      </c>
      <c r="E484" t="s">
        <v>28</v>
      </c>
      <c r="F484">
        <v>2</v>
      </c>
      <c r="G484">
        <v>180</v>
      </c>
      <c r="H484">
        <v>360</v>
      </c>
      <c r="I484">
        <v>75</v>
      </c>
      <c r="J484">
        <v>150</v>
      </c>
      <c r="K484">
        <v>210</v>
      </c>
      <c r="L484" t="s">
        <v>29</v>
      </c>
      <c r="M484" t="s">
        <v>56</v>
      </c>
      <c r="N484" t="s">
        <v>81</v>
      </c>
      <c r="O484">
        <v>34.090000000000003</v>
      </c>
      <c r="P484">
        <v>38.200000000000003</v>
      </c>
      <c r="Q484">
        <v>12.53</v>
      </c>
      <c r="R484">
        <v>17.8</v>
      </c>
      <c r="S484">
        <v>3.97</v>
      </c>
      <c r="T484">
        <v>13.35</v>
      </c>
      <c r="U484">
        <v>5.03</v>
      </c>
      <c r="V484">
        <v>2.46</v>
      </c>
      <c r="W484">
        <v>82.57</v>
      </c>
      <c r="X484" t="s">
        <v>57</v>
      </c>
      <c r="Y484" t="s">
        <v>40</v>
      </c>
    </row>
    <row r="485" spans="1:25" x14ac:dyDescent="0.3">
      <c r="A485">
        <v>484</v>
      </c>
      <c r="B485" t="s">
        <v>126</v>
      </c>
      <c r="C485" t="s">
        <v>377</v>
      </c>
      <c r="D485" t="s">
        <v>62</v>
      </c>
      <c r="E485" t="s">
        <v>28</v>
      </c>
      <c r="F485">
        <v>3</v>
      </c>
      <c r="G485">
        <v>250</v>
      </c>
      <c r="H485">
        <v>750</v>
      </c>
      <c r="I485">
        <v>110</v>
      </c>
      <c r="J485">
        <v>330</v>
      </c>
      <c r="K485">
        <v>420</v>
      </c>
      <c r="L485" t="s">
        <v>86</v>
      </c>
      <c r="M485" t="s">
        <v>63</v>
      </c>
      <c r="N485" t="s">
        <v>39</v>
      </c>
      <c r="O485">
        <v>38.049999999999997</v>
      </c>
      <c r="P485">
        <v>43.82</v>
      </c>
      <c r="Q485">
        <v>13.94</v>
      </c>
      <c r="R485">
        <v>33.99</v>
      </c>
      <c r="S485">
        <v>4.66</v>
      </c>
      <c r="T485">
        <v>4.8600000000000003</v>
      </c>
      <c r="U485">
        <v>6.79</v>
      </c>
      <c r="V485">
        <v>2.02</v>
      </c>
      <c r="W485">
        <v>271.87</v>
      </c>
      <c r="X485" t="s">
        <v>32</v>
      </c>
      <c r="Y485" t="s">
        <v>40</v>
      </c>
    </row>
    <row r="486" spans="1:25" x14ac:dyDescent="0.3">
      <c r="A486">
        <v>485</v>
      </c>
      <c r="B486" t="s">
        <v>236</v>
      </c>
      <c r="C486" t="s">
        <v>415</v>
      </c>
      <c r="D486" t="s">
        <v>89</v>
      </c>
      <c r="E486" t="s">
        <v>28</v>
      </c>
      <c r="F486">
        <v>4</v>
      </c>
      <c r="G486">
        <v>180</v>
      </c>
      <c r="H486">
        <v>720</v>
      </c>
      <c r="I486">
        <v>75</v>
      </c>
      <c r="J486">
        <v>300</v>
      </c>
      <c r="K486">
        <v>420</v>
      </c>
      <c r="L486" t="s">
        <v>55</v>
      </c>
      <c r="M486" t="s">
        <v>38</v>
      </c>
      <c r="N486" t="s">
        <v>51</v>
      </c>
      <c r="O486">
        <v>24.09</v>
      </c>
      <c r="P486">
        <v>55.4</v>
      </c>
      <c r="Q486">
        <v>11.24</v>
      </c>
      <c r="R486">
        <v>29.61</v>
      </c>
      <c r="S486">
        <v>3.64</v>
      </c>
      <c r="T486">
        <v>4.53</v>
      </c>
      <c r="U486">
        <v>7.99</v>
      </c>
      <c r="V486">
        <v>0.47</v>
      </c>
      <c r="W486">
        <v>283.02999999999997</v>
      </c>
      <c r="X486" t="s">
        <v>57</v>
      </c>
      <c r="Y486" t="s">
        <v>33</v>
      </c>
    </row>
    <row r="487" spans="1:25" x14ac:dyDescent="0.3">
      <c r="A487">
        <v>486</v>
      </c>
      <c r="B487" t="s">
        <v>203</v>
      </c>
      <c r="C487" t="s">
        <v>482</v>
      </c>
      <c r="D487" t="s">
        <v>36</v>
      </c>
      <c r="E487" t="s">
        <v>28</v>
      </c>
      <c r="F487">
        <v>2</v>
      </c>
      <c r="G487">
        <v>220</v>
      </c>
      <c r="H487">
        <v>440</v>
      </c>
      <c r="I487">
        <v>100</v>
      </c>
      <c r="J487">
        <v>200</v>
      </c>
      <c r="K487">
        <v>240</v>
      </c>
      <c r="L487" t="s">
        <v>55</v>
      </c>
      <c r="M487" t="s">
        <v>63</v>
      </c>
      <c r="N487" t="s">
        <v>46</v>
      </c>
      <c r="O487">
        <v>24.71</v>
      </c>
      <c r="P487">
        <v>27.91</v>
      </c>
      <c r="Q487">
        <v>11.7</v>
      </c>
      <c r="R487">
        <v>12.98</v>
      </c>
      <c r="S487">
        <v>4.74</v>
      </c>
      <c r="T487">
        <v>14.73</v>
      </c>
      <c r="U487">
        <v>3.1</v>
      </c>
      <c r="V487">
        <v>0.35</v>
      </c>
      <c r="W487">
        <v>139.78</v>
      </c>
      <c r="X487" t="s">
        <v>32</v>
      </c>
      <c r="Y487" t="s">
        <v>33</v>
      </c>
    </row>
    <row r="488" spans="1:25" x14ac:dyDescent="0.3">
      <c r="A488">
        <v>487</v>
      </c>
      <c r="B488" t="s">
        <v>383</v>
      </c>
      <c r="C488" t="s">
        <v>142</v>
      </c>
      <c r="D488" t="s">
        <v>36</v>
      </c>
      <c r="E488" t="s">
        <v>28</v>
      </c>
      <c r="F488">
        <v>4</v>
      </c>
      <c r="G488">
        <v>220</v>
      </c>
      <c r="H488">
        <v>880</v>
      </c>
      <c r="I488">
        <v>100</v>
      </c>
      <c r="J488">
        <v>400</v>
      </c>
      <c r="K488">
        <v>480</v>
      </c>
      <c r="L488" t="s">
        <v>86</v>
      </c>
      <c r="M488" t="s">
        <v>56</v>
      </c>
      <c r="N488" t="s">
        <v>81</v>
      </c>
      <c r="O488">
        <v>26.36</v>
      </c>
      <c r="P488">
        <v>36.119999999999997</v>
      </c>
      <c r="Q488">
        <v>5.91</v>
      </c>
      <c r="R488">
        <v>23.3</v>
      </c>
      <c r="S488">
        <v>1.29</v>
      </c>
      <c r="T488">
        <v>7.51</v>
      </c>
      <c r="U488">
        <v>1.32</v>
      </c>
      <c r="V488">
        <v>0.41</v>
      </c>
      <c r="W488">
        <v>377.78</v>
      </c>
      <c r="X488" t="s">
        <v>66</v>
      </c>
      <c r="Y488" t="s">
        <v>40</v>
      </c>
    </row>
    <row r="489" spans="1:25" x14ac:dyDescent="0.3">
      <c r="A489">
        <v>488</v>
      </c>
      <c r="B489" t="s">
        <v>483</v>
      </c>
      <c r="C489" t="s">
        <v>484</v>
      </c>
      <c r="D489" t="s">
        <v>27</v>
      </c>
      <c r="E489" t="s">
        <v>28</v>
      </c>
      <c r="F489">
        <v>3</v>
      </c>
      <c r="G489">
        <v>200</v>
      </c>
      <c r="H489">
        <v>600</v>
      </c>
      <c r="I489">
        <v>90</v>
      </c>
      <c r="J489">
        <v>270</v>
      </c>
      <c r="K489">
        <v>330</v>
      </c>
      <c r="L489" t="s">
        <v>44</v>
      </c>
      <c r="M489" t="s">
        <v>56</v>
      </c>
      <c r="N489" t="s">
        <v>81</v>
      </c>
      <c r="O489">
        <v>26.96</v>
      </c>
      <c r="P489">
        <v>54.42</v>
      </c>
      <c r="Q489">
        <v>8.82</v>
      </c>
      <c r="R489">
        <v>24.65</v>
      </c>
      <c r="S489">
        <v>3.28</v>
      </c>
      <c r="T489">
        <v>5.46</v>
      </c>
      <c r="U489">
        <v>5.54</v>
      </c>
      <c r="V489">
        <v>0.55000000000000004</v>
      </c>
      <c r="W489">
        <v>200.32</v>
      </c>
      <c r="X489" t="s">
        <v>57</v>
      </c>
      <c r="Y489" t="s">
        <v>33</v>
      </c>
    </row>
    <row r="490" spans="1:25" x14ac:dyDescent="0.3">
      <c r="A490">
        <v>489</v>
      </c>
      <c r="B490" t="s">
        <v>201</v>
      </c>
      <c r="C490" t="s">
        <v>352</v>
      </c>
      <c r="D490" t="s">
        <v>109</v>
      </c>
      <c r="E490" t="s">
        <v>50</v>
      </c>
      <c r="F490">
        <v>1</v>
      </c>
      <c r="G490">
        <v>150</v>
      </c>
      <c r="H490">
        <v>150</v>
      </c>
      <c r="I490">
        <v>70</v>
      </c>
      <c r="J490">
        <v>70</v>
      </c>
      <c r="K490">
        <v>80</v>
      </c>
      <c r="L490" t="s">
        <v>29</v>
      </c>
      <c r="M490" t="s">
        <v>63</v>
      </c>
      <c r="N490" t="s">
        <v>31</v>
      </c>
      <c r="O490">
        <v>39.31</v>
      </c>
      <c r="P490">
        <v>15.72</v>
      </c>
      <c r="Q490">
        <v>12.44</v>
      </c>
      <c r="R490">
        <v>10.75</v>
      </c>
      <c r="S490">
        <v>4.3</v>
      </c>
      <c r="T490">
        <v>7.25</v>
      </c>
      <c r="U490">
        <v>6.44</v>
      </c>
      <c r="V490">
        <v>2.2999999999999998</v>
      </c>
      <c r="W490">
        <v>-18.510000000000002</v>
      </c>
      <c r="X490" t="s">
        <v>32</v>
      </c>
      <c r="Y490" t="s">
        <v>40</v>
      </c>
    </row>
    <row r="491" spans="1:25" x14ac:dyDescent="0.3">
      <c r="A491">
        <v>490</v>
      </c>
      <c r="B491" t="s">
        <v>247</v>
      </c>
      <c r="C491" t="s">
        <v>485</v>
      </c>
      <c r="D491" t="s">
        <v>89</v>
      </c>
      <c r="E491" t="s">
        <v>28</v>
      </c>
      <c r="F491">
        <v>4</v>
      </c>
      <c r="G491">
        <v>180</v>
      </c>
      <c r="H491">
        <v>720</v>
      </c>
      <c r="I491">
        <v>75</v>
      </c>
      <c r="J491">
        <v>300</v>
      </c>
      <c r="K491">
        <v>420</v>
      </c>
      <c r="L491" t="s">
        <v>37</v>
      </c>
      <c r="M491" t="s">
        <v>56</v>
      </c>
      <c r="N491" t="s">
        <v>31</v>
      </c>
      <c r="O491">
        <v>26.48</v>
      </c>
      <c r="P491">
        <v>57.12</v>
      </c>
      <c r="Q491">
        <v>12.86</v>
      </c>
      <c r="R491">
        <v>20.170000000000002</v>
      </c>
      <c r="S491">
        <v>2.11</v>
      </c>
      <c r="T491">
        <v>10.31</v>
      </c>
      <c r="U491">
        <v>7.7</v>
      </c>
      <c r="V491">
        <v>2.0699999999999998</v>
      </c>
      <c r="W491">
        <v>281.18</v>
      </c>
      <c r="X491" t="s">
        <v>32</v>
      </c>
      <c r="Y491" t="s">
        <v>33</v>
      </c>
    </row>
    <row r="492" spans="1:25" x14ac:dyDescent="0.3">
      <c r="A492">
        <v>491</v>
      </c>
      <c r="B492" t="s">
        <v>77</v>
      </c>
      <c r="C492" t="s">
        <v>422</v>
      </c>
      <c r="D492" t="s">
        <v>27</v>
      </c>
      <c r="E492" t="s">
        <v>28</v>
      </c>
      <c r="F492">
        <v>1</v>
      </c>
      <c r="G492">
        <v>200</v>
      </c>
      <c r="H492">
        <v>200</v>
      </c>
      <c r="I492">
        <v>90</v>
      </c>
      <c r="J492">
        <v>90</v>
      </c>
      <c r="K492">
        <v>110</v>
      </c>
      <c r="L492" t="s">
        <v>37</v>
      </c>
      <c r="M492" t="s">
        <v>56</v>
      </c>
      <c r="N492" t="s">
        <v>39</v>
      </c>
      <c r="O492">
        <v>30.84</v>
      </c>
      <c r="P492">
        <v>42.22</v>
      </c>
      <c r="Q492">
        <v>16.88</v>
      </c>
      <c r="R492">
        <v>2</v>
      </c>
      <c r="S492">
        <v>2.73</v>
      </c>
      <c r="T492">
        <v>3.42</v>
      </c>
      <c r="U492">
        <v>1.69</v>
      </c>
      <c r="V492">
        <v>0.96</v>
      </c>
      <c r="W492">
        <v>9.26</v>
      </c>
      <c r="X492" t="s">
        <v>66</v>
      </c>
      <c r="Y492" t="s">
        <v>40</v>
      </c>
    </row>
    <row r="493" spans="1:25" x14ac:dyDescent="0.3">
      <c r="A493">
        <v>492</v>
      </c>
      <c r="B493" t="s">
        <v>177</v>
      </c>
      <c r="C493" t="s">
        <v>362</v>
      </c>
      <c r="D493" t="s">
        <v>62</v>
      </c>
      <c r="E493" t="s">
        <v>28</v>
      </c>
      <c r="F493">
        <v>1</v>
      </c>
      <c r="G493">
        <v>250</v>
      </c>
      <c r="H493">
        <v>250</v>
      </c>
      <c r="I493">
        <v>110</v>
      </c>
      <c r="J493">
        <v>110</v>
      </c>
      <c r="K493">
        <v>140</v>
      </c>
      <c r="L493" t="s">
        <v>44</v>
      </c>
      <c r="M493" t="s">
        <v>38</v>
      </c>
      <c r="N493" t="s">
        <v>51</v>
      </c>
      <c r="O493">
        <v>39.46</v>
      </c>
      <c r="P493">
        <v>32.74</v>
      </c>
      <c r="Q493">
        <v>16</v>
      </c>
      <c r="R493">
        <v>3.03</v>
      </c>
      <c r="S493">
        <v>3.48</v>
      </c>
      <c r="T493">
        <v>11.01</v>
      </c>
      <c r="U493">
        <v>2.2999999999999998</v>
      </c>
      <c r="V493">
        <v>0.28999999999999998</v>
      </c>
      <c r="W493">
        <v>31.69</v>
      </c>
      <c r="X493" t="s">
        <v>32</v>
      </c>
      <c r="Y493" t="s">
        <v>40</v>
      </c>
    </row>
    <row r="494" spans="1:25" x14ac:dyDescent="0.3">
      <c r="A494">
        <v>493</v>
      </c>
      <c r="B494" t="s">
        <v>135</v>
      </c>
      <c r="C494" t="s">
        <v>194</v>
      </c>
      <c r="D494" t="s">
        <v>49</v>
      </c>
      <c r="E494" t="s">
        <v>50</v>
      </c>
      <c r="F494">
        <v>4</v>
      </c>
      <c r="G494">
        <v>180</v>
      </c>
      <c r="H494">
        <v>720</v>
      </c>
      <c r="I494">
        <v>90</v>
      </c>
      <c r="J494">
        <v>360</v>
      </c>
      <c r="K494">
        <v>360</v>
      </c>
      <c r="L494" t="s">
        <v>55</v>
      </c>
      <c r="M494" t="s">
        <v>56</v>
      </c>
      <c r="N494" t="s">
        <v>51</v>
      </c>
      <c r="O494">
        <v>10.29</v>
      </c>
      <c r="P494">
        <v>55.98</v>
      </c>
      <c r="Q494">
        <v>19.579999999999998</v>
      </c>
      <c r="R494">
        <v>34.18</v>
      </c>
      <c r="S494">
        <v>2.4700000000000002</v>
      </c>
      <c r="T494">
        <v>12.81</v>
      </c>
      <c r="U494">
        <v>7.99</v>
      </c>
      <c r="V494">
        <v>1.5</v>
      </c>
      <c r="W494">
        <v>215.2</v>
      </c>
      <c r="X494" t="s">
        <v>32</v>
      </c>
      <c r="Y494" t="s">
        <v>33</v>
      </c>
    </row>
    <row r="495" spans="1:25" x14ac:dyDescent="0.3">
      <c r="A495">
        <v>494</v>
      </c>
      <c r="B495" t="s">
        <v>340</v>
      </c>
      <c r="C495" t="s">
        <v>486</v>
      </c>
      <c r="D495" t="s">
        <v>89</v>
      </c>
      <c r="E495" t="s">
        <v>28</v>
      </c>
      <c r="F495">
        <v>3</v>
      </c>
      <c r="G495">
        <v>180</v>
      </c>
      <c r="H495">
        <v>540</v>
      </c>
      <c r="I495">
        <v>75</v>
      </c>
      <c r="J495">
        <v>225</v>
      </c>
      <c r="K495">
        <v>315</v>
      </c>
      <c r="L495" t="s">
        <v>55</v>
      </c>
      <c r="M495" t="s">
        <v>63</v>
      </c>
      <c r="N495" t="s">
        <v>46</v>
      </c>
      <c r="O495">
        <v>13.42</v>
      </c>
      <c r="P495">
        <v>44.62</v>
      </c>
      <c r="Q495">
        <v>12.57</v>
      </c>
      <c r="R495">
        <v>17.43</v>
      </c>
      <c r="S495">
        <v>0.24</v>
      </c>
      <c r="T495">
        <v>8.6999999999999993</v>
      </c>
      <c r="U495">
        <v>4.82</v>
      </c>
      <c r="V495">
        <v>2.92</v>
      </c>
      <c r="W495">
        <v>210.28</v>
      </c>
      <c r="X495" t="s">
        <v>32</v>
      </c>
      <c r="Y495" t="s">
        <v>33</v>
      </c>
    </row>
    <row r="496" spans="1:25" x14ac:dyDescent="0.3">
      <c r="A496">
        <v>495</v>
      </c>
      <c r="B496" t="s">
        <v>225</v>
      </c>
      <c r="C496" t="s">
        <v>163</v>
      </c>
      <c r="D496" t="s">
        <v>109</v>
      </c>
      <c r="E496" t="s">
        <v>50</v>
      </c>
      <c r="F496">
        <v>2</v>
      </c>
      <c r="G496">
        <v>150</v>
      </c>
      <c r="H496">
        <v>300</v>
      </c>
      <c r="I496">
        <v>70</v>
      </c>
      <c r="J496">
        <v>140</v>
      </c>
      <c r="K496">
        <v>160</v>
      </c>
      <c r="L496" t="s">
        <v>86</v>
      </c>
      <c r="M496" t="s">
        <v>30</v>
      </c>
      <c r="N496" t="s">
        <v>31</v>
      </c>
      <c r="O496">
        <v>14.15</v>
      </c>
      <c r="P496">
        <v>49.57</v>
      </c>
      <c r="Q496">
        <v>14.5</v>
      </c>
      <c r="R496">
        <v>34.71</v>
      </c>
      <c r="S496">
        <v>3.72</v>
      </c>
      <c r="T496">
        <v>9.1</v>
      </c>
      <c r="U496">
        <v>6.76</v>
      </c>
      <c r="V496">
        <v>1.72</v>
      </c>
      <c r="W496">
        <v>25.77</v>
      </c>
      <c r="X496" t="s">
        <v>57</v>
      </c>
      <c r="Y496" t="s">
        <v>40</v>
      </c>
    </row>
    <row r="497" spans="1:25" x14ac:dyDescent="0.3">
      <c r="A497">
        <v>496</v>
      </c>
      <c r="B497" t="s">
        <v>379</v>
      </c>
      <c r="C497" t="s">
        <v>487</v>
      </c>
      <c r="D497" t="s">
        <v>109</v>
      </c>
      <c r="E497" t="s">
        <v>50</v>
      </c>
      <c r="F497">
        <v>4</v>
      </c>
      <c r="G497">
        <v>150</v>
      </c>
      <c r="H497">
        <v>600</v>
      </c>
      <c r="I497">
        <v>70</v>
      </c>
      <c r="J497">
        <v>280</v>
      </c>
      <c r="K497">
        <v>320</v>
      </c>
      <c r="L497" t="s">
        <v>86</v>
      </c>
      <c r="M497" t="s">
        <v>56</v>
      </c>
      <c r="N497" t="s">
        <v>31</v>
      </c>
      <c r="O497">
        <v>11.78</v>
      </c>
      <c r="P497">
        <v>23.79</v>
      </c>
      <c r="Q497">
        <v>19.39</v>
      </c>
      <c r="R497">
        <v>29.23</v>
      </c>
      <c r="S497">
        <v>3.48</v>
      </c>
      <c r="T497">
        <v>2.91</v>
      </c>
      <c r="U497">
        <v>5.14</v>
      </c>
      <c r="V497">
        <v>2.42</v>
      </c>
      <c r="W497">
        <v>221.86</v>
      </c>
      <c r="X497" t="s">
        <v>57</v>
      </c>
      <c r="Y497" t="s">
        <v>33</v>
      </c>
    </row>
    <row r="498" spans="1:25" x14ac:dyDescent="0.3">
      <c r="A498">
        <v>497</v>
      </c>
      <c r="B498" t="s">
        <v>264</v>
      </c>
      <c r="C498" t="s">
        <v>449</v>
      </c>
      <c r="D498" t="s">
        <v>36</v>
      </c>
      <c r="E498" t="s">
        <v>28</v>
      </c>
      <c r="F498">
        <v>4</v>
      </c>
      <c r="G498">
        <v>220</v>
      </c>
      <c r="H498">
        <v>880</v>
      </c>
      <c r="I498">
        <v>100</v>
      </c>
      <c r="J498">
        <v>400</v>
      </c>
      <c r="K498">
        <v>480</v>
      </c>
      <c r="L498" t="s">
        <v>55</v>
      </c>
      <c r="M498" t="s">
        <v>63</v>
      </c>
      <c r="N498" t="s">
        <v>51</v>
      </c>
      <c r="O498">
        <v>32.81</v>
      </c>
      <c r="P498">
        <v>59.27</v>
      </c>
      <c r="Q498">
        <v>10.58</v>
      </c>
      <c r="R498">
        <v>34.58</v>
      </c>
      <c r="S498">
        <v>4.32</v>
      </c>
      <c r="T498">
        <v>5.41</v>
      </c>
      <c r="U498">
        <v>3.07</v>
      </c>
      <c r="V498">
        <v>0.03</v>
      </c>
      <c r="W498">
        <v>329.93</v>
      </c>
      <c r="X498" t="s">
        <v>66</v>
      </c>
      <c r="Y498" t="s">
        <v>33</v>
      </c>
    </row>
    <row r="499" spans="1:25" x14ac:dyDescent="0.3">
      <c r="A499">
        <v>498</v>
      </c>
      <c r="B499" t="s">
        <v>488</v>
      </c>
      <c r="C499" t="s">
        <v>357</v>
      </c>
      <c r="D499" t="s">
        <v>109</v>
      </c>
      <c r="E499" t="s">
        <v>50</v>
      </c>
      <c r="F499">
        <v>2</v>
      </c>
      <c r="G499">
        <v>150</v>
      </c>
      <c r="H499">
        <v>300</v>
      </c>
      <c r="I499">
        <v>70</v>
      </c>
      <c r="J499">
        <v>140</v>
      </c>
      <c r="K499">
        <v>160</v>
      </c>
      <c r="L499" t="s">
        <v>37</v>
      </c>
      <c r="M499" t="s">
        <v>63</v>
      </c>
      <c r="N499" t="s">
        <v>31</v>
      </c>
      <c r="O499">
        <v>17.37</v>
      </c>
      <c r="P499">
        <v>41.88</v>
      </c>
      <c r="Q499">
        <v>17.600000000000001</v>
      </c>
      <c r="R499">
        <v>19.350000000000001</v>
      </c>
      <c r="S499">
        <v>4.0599999999999996</v>
      </c>
      <c r="T499">
        <v>5.59</v>
      </c>
      <c r="U499">
        <v>7.36</v>
      </c>
      <c r="V499">
        <v>2.69</v>
      </c>
      <c r="W499">
        <v>44.1</v>
      </c>
      <c r="X499" t="s">
        <v>57</v>
      </c>
      <c r="Y499" t="s">
        <v>40</v>
      </c>
    </row>
    <row r="500" spans="1:25" x14ac:dyDescent="0.3">
      <c r="A500">
        <v>499</v>
      </c>
      <c r="B500" t="s">
        <v>342</v>
      </c>
      <c r="C500" t="s">
        <v>196</v>
      </c>
      <c r="D500" t="s">
        <v>27</v>
      </c>
      <c r="E500" t="s">
        <v>28</v>
      </c>
      <c r="F500">
        <v>4</v>
      </c>
      <c r="G500">
        <v>200</v>
      </c>
      <c r="H500">
        <v>800</v>
      </c>
      <c r="I500">
        <v>90</v>
      </c>
      <c r="J500">
        <v>360</v>
      </c>
      <c r="K500">
        <v>440</v>
      </c>
      <c r="L500" t="s">
        <v>86</v>
      </c>
      <c r="M500" t="s">
        <v>63</v>
      </c>
      <c r="N500" t="s">
        <v>31</v>
      </c>
      <c r="O500">
        <v>33.299999999999997</v>
      </c>
      <c r="P500">
        <v>36.89</v>
      </c>
      <c r="Q500">
        <v>9.41</v>
      </c>
      <c r="R500">
        <v>16.36</v>
      </c>
      <c r="S500">
        <v>0.26</v>
      </c>
      <c r="T500">
        <v>2.88</v>
      </c>
      <c r="U500">
        <v>3.48</v>
      </c>
      <c r="V500">
        <v>0.72</v>
      </c>
      <c r="W500">
        <v>336.7</v>
      </c>
      <c r="X500" t="s">
        <v>32</v>
      </c>
      <c r="Y500" t="s">
        <v>33</v>
      </c>
    </row>
    <row r="501" spans="1:25" x14ac:dyDescent="0.3">
      <c r="A501">
        <v>500</v>
      </c>
      <c r="B501" t="s">
        <v>328</v>
      </c>
      <c r="C501" t="s">
        <v>322</v>
      </c>
      <c r="D501" t="s">
        <v>43</v>
      </c>
      <c r="E501" t="s">
        <v>43</v>
      </c>
      <c r="F501">
        <v>2</v>
      </c>
      <c r="G501">
        <v>80</v>
      </c>
      <c r="H501">
        <v>160</v>
      </c>
      <c r="I501">
        <v>30</v>
      </c>
      <c r="J501">
        <v>60</v>
      </c>
      <c r="K501">
        <v>100</v>
      </c>
      <c r="L501" t="s">
        <v>86</v>
      </c>
      <c r="M501" t="s">
        <v>38</v>
      </c>
      <c r="N501" t="s">
        <v>46</v>
      </c>
      <c r="O501">
        <v>33.03</v>
      </c>
      <c r="P501">
        <v>26.31</v>
      </c>
      <c r="Q501">
        <v>16.100000000000001</v>
      </c>
      <c r="R501">
        <v>32.799999999999997</v>
      </c>
      <c r="S501">
        <v>1.76</v>
      </c>
      <c r="T501">
        <v>7.87</v>
      </c>
      <c r="U501">
        <v>3.32</v>
      </c>
      <c r="V501">
        <v>1.21</v>
      </c>
      <c r="W501">
        <v>-22.4</v>
      </c>
      <c r="X501" t="s">
        <v>57</v>
      </c>
      <c r="Y501" t="s">
        <v>40</v>
      </c>
    </row>
    <row r="502" spans="1:25" x14ac:dyDescent="0.3">
      <c r="A502">
        <v>501</v>
      </c>
      <c r="B502" t="s">
        <v>145</v>
      </c>
      <c r="C502" t="s">
        <v>186</v>
      </c>
      <c r="D502" t="s">
        <v>54</v>
      </c>
      <c r="E502" t="s">
        <v>28</v>
      </c>
      <c r="F502">
        <v>1</v>
      </c>
      <c r="G502">
        <v>120</v>
      </c>
      <c r="H502">
        <v>120</v>
      </c>
      <c r="I502">
        <v>50</v>
      </c>
      <c r="J502">
        <v>50</v>
      </c>
      <c r="K502">
        <v>70</v>
      </c>
      <c r="L502" t="s">
        <v>86</v>
      </c>
      <c r="M502" t="s">
        <v>45</v>
      </c>
      <c r="N502" t="s">
        <v>90</v>
      </c>
      <c r="O502">
        <v>14.84</v>
      </c>
      <c r="P502">
        <v>32.36</v>
      </c>
      <c r="Q502">
        <v>7.65</v>
      </c>
      <c r="R502">
        <v>18.5</v>
      </c>
      <c r="S502">
        <v>1.29</v>
      </c>
      <c r="T502">
        <v>11.9</v>
      </c>
      <c r="U502">
        <v>6.61</v>
      </c>
      <c r="V502">
        <v>1.4</v>
      </c>
      <c r="W502">
        <v>-24.55</v>
      </c>
      <c r="X502" t="s">
        <v>57</v>
      </c>
      <c r="Y502" t="s">
        <v>40</v>
      </c>
    </row>
    <row r="503" spans="1:25" x14ac:dyDescent="0.3">
      <c r="A503">
        <v>502</v>
      </c>
      <c r="B503" t="s">
        <v>205</v>
      </c>
      <c r="C503" t="s">
        <v>463</v>
      </c>
      <c r="D503" t="s">
        <v>27</v>
      </c>
      <c r="E503" t="s">
        <v>28</v>
      </c>
      <c r="F503">
        <v>3</v>
      </c>
      <c r="G503">
        <v>200</v>
      </c>
      <c r="H503">
        <v>600</v>
      </c>
      <c r="I503">
        <v>90</v>
      </c>
      <c r="J503">
        <v>270</v>
      </c>
      <c r="K503">
        <v>330</v>
      </c>
      <c r="L503" t="s">
        <v>37</v>
      </c>
      <c r="M503" t="s">
        <v>30</v>
      </c>
      <c r="N503" t="s">
        <v>81</v>
      </c>
      <c r="O503">
        <v>17.59</v>
      </c>
      <c r="P503">
        <v>24.93</v>
      </c>
      <c r="Q503">
        <v>6.37</v>
      </c>
      <c r="R503">
        <v>32.75</v>
      </c>
      <c r="S503">
        <v>2.06</v>
      </c>
      <c r="T503">
        <v>4.92</v>
      </c>
      <c r="U503">
        <v>1.93</v>
      </c>
      <c r="V503">
        <v>0.66</v>
      </c>
      <c r="W503">
        <v>238.79</v>
      </c>
      <c r="X503" t="s">
        <v>57</v>
      </c>
      <c r="Y503" t="s">
        <v>33</v>
      </c>
    </row>
    <row r="504" spans="1:25" x14ac:dyDescent="0.3">
      <c r="A504">
        <v>503</v>
      </c>
      <c r="B504" t="s">
        <v>134</v>
      </c>
      <c r="C504" t="s">
        <v>146</v>
      </c>
      <c r="D504" t="s">
        <v>49</v>
      </c>
      <c r="E504" t="s">
        <v>50</v>
      </c>
      <c r="F504">
        <v>1</v>
      </c>
      <c r="G504">
        <v>180</v>
      </c>
      <c r="H504">
        <v>180</v>
      </c>
      <c r="I504">
        <v>90</v>
      </c>
      <c r="J504">
        <v>90</v>
      </c>
      <c r="K504">
        <v>90</v>
      </c>
      <c r="L504" t="s">
        <v>86</v>
      </c>
      <c r="M504" t="s">
        <v>45</v>
      </c>
      <c r="N504" t="s">
        <v>31</v>
      </c>
      <c r="O504">
        <v>30.16</v>
      </c>
      <c r="P504">
        <v>51.37</v>
      </c>
      <c r="Q504">
        <v>8.0299999999999994</v>
      </c>
      <c r="R504">
        <v>13.97</v>
      </c>
      <c r="S504">
        <v>0.76</v>
      </c>
      <c r="T504">
        <v>11.76</v>
      </c>
      <c r="U504">
        <v>2.88</v>
      </c>
      <c r="V504">
        <v>2.86</v>
      </c>
      <c r="W504">
        <v>-31.79</v>
      </c>
      <c r="X504" t="s">
        <v>66</v>
      </c>
      <c r="Y504" t="s">
        <v>40</v>
      </c>
    </row>
    <row r="505" spans="1:25" x14ac:dyDescent="0.3">
      <c r="A505">
        <v>504</v>
      </c>
      <c r="B505" t="s">
        <v>159</v>
      </c>
      <c r="C505" t="s">
        <v>260</v>
      </c>
      <c r="D505" t="s">
        <v>36</v>
      </c>
      <c r="E505" t="s">
        <v>28</v>
      </c>
      <c r="F505">
        <v>3</v>
      </c>
      <c r="G505">
        <v>220</v>
      </c>
      <c r="H505">
        <v>660</v>
      </c>
      <c r="I505">
        <v>100</v>
      </c>
      <c r="J505">
        <v>300</v>
      </c>
      <c r="K505">
        <v>360</v>
      </c>
      <c r="L505" t="s">
        <v>29</v>
      </c>
      <c r="M505" t="s">
        <v>56</v>
      </c>
      <c r="N505" t="s">
        <v>46</v>
      </c>
      <c r="O505">
        <v>21.71</v>
      </c>
      <c r="P505">
        <v>31.99</v>
      </c>
      <c r="Q505">
        <v>16.93</v>
      </c>
      <c r="R505">
        <v>34.78</v>
      </c>
      <c r="S505">
        <v>2.29</v>
      </c>
      <c r="T505">
        <v>4.72</v>
      </c>
      <c r="U505">
        <v>1.1399999999999999</v>
      </c>
      <c r="V505">
        <v>1.75</v>
      </c>
      <c r="W505">
        <v>244.69</v>
      </c>
      <c r="X505" t="s">
        <v>66</v>
      </c>
      <c r="Y505" t="s">
        <v>40</v>
      </c>
    </row>
    <row r="506" spans="1:25" x14ac:dyDescent="0.3">
      <c r="A506">
        <v>505</v>
      </c>
      <c r="B506" t="s">
        <v>168</v>
      </c>
      <c r="C506" t="s">
        <v>178</v>
      </c>
      <c r="D506" t="s">
        <v>49</v>
      </c>
      <c r="E506" t="s">
        <v>50</v>
      </c>
      <c r="F506">
        <v>3</v>
      </c>
      <c r="G506">
        <v>180</v>
      </c>
      <c r="H506">
        <v>540</v>
      </c>
      <c r="I506">
        <v>90</v>
      </c>
      <c r="J506">
        <v>270</v>
      </c>
      <c r="K506">
        <v>270</v>
      </c>
      <c r="L506" t="s">
        <v>55</v>
      </c>
      <c r="M506" t="s">
        <v>30</v>
      </c>
      <c r="N506" t="s">
        <v>51</v>
      </c>
      <c r="O506">
        <v>29.79</v>
      </c>
      <c r="P506">
        <v>52.47</v>
      </c>
      <c r="Q506">
        <v>7.42</v>
      </c>
      <c r="R506">
        <v>26.19</v>
      </c>
      <c r="S506">
        <v>2.54</v>
      </c>
      <c r="T506">
        <v>7.14</v>
      </c>
      <c r="U506">
        <v>1.46</v>
      </c>
      <c r="V506">
        <v>1.95</v>
      </c>
      <c r="W506">
        <v>141.04</v>
      </c>
      <c r="X506" t="s">
        <v>57</v>
      </c>
      <c r="Y506" t="s">
        <v>40</v>
      </c>
    </row>
    <row r="507" spans="1:25" x14ac:dyDescent="0.3">
      <c r="A507">
        <v>506</v>
      </c>
      <c r="B507" t="s">
        <v>233</v>
      </c>
      <c r="C507" t="s">
        <v>479</v>
      </c>
      <c r="D507" t="s">
        <v>27</v>
      </c>
      <c r="E507" t="s">
        <v>28</v>
      </c>
      <c r="F507">
        <v>4</v>
      </c>
      <c r="G507">
        <v>200</v>
      </c>
      <c r="H507">
        <v>800</v>
      </c>
      <c r="I507">
        <v>90</v>
      </c>
      <c r="J507">
        <v>360</v>
      </c>
      <c r="K507">
        <v>440</v>
      </c>
      <c r="L507" t="s">
        <v>29</v>
      </c>
      <c r="M507" t="s">
        <v>63</v>
      </c>
      <c r="N507" t="s">
        <v>51</v>
      </c>
      <c r="O507">
        <v>12.1</v>
      </c>
      <c r="P507">
        <v>55.7</v>
      </c>
      <c r="Q507">
        <v>11.34</v>
      </c>
      <c r="R507">
        <v>25.25</v>
      </c>
      <c r="S507">
        <v>2.4700000000000002</v>
      </c>
      <c r="T507">
        <v>12.75</v>
      </c>
      <c r="U507">
        <v>4.04</v>
      </c>
      <c r="V507">
        <v>0.22</v>
      </c>
      <c r="W507">
        <v>316.13</v>
      </c>
      <c r="X507" t="s">
        <v>32</v>
      </c>
      <c r="Y507" t="s">
        <v>33</v>
      </c>
    </row>
    <row r="508" spans="1:25" x14ac:dyDescent="0.3">
      <c r="A508">
        <v>507</v>
      </c>
      <c r="B508" t="s">
        <v>200</v>
      </c>
      <c r="C508" t="s">
        <v>108</v>
      </c>
      <c r="D508" t="s">
        <v>62</v>
      </c>
      <c r="E508" t="s">
        <v>28</v>
      </c>
      <c r="F508">
        <v>2</v>
      </c>
      <c r="G508">
        <v>250</v>
      </c>
      <c r="H508">
        <v>500</v>
      </c>
      <c r="I508">
        <v>110</v>
      </c>
      <c r="J508">
        <v>220</v>
      </c>
      <c r="K508">
        <v>280</v>
      </c>
      <c r="L508" t="s">
        <v>44</v>
      </c>
      <c r="M508" t="s">
        <v>63</v>
      </c>
      <c r="N508" t="s">
        <v>31</v>
      </c>
      <c r="O508">
        <v>39.92</v>
      </c>
      <c r="P508">
        <v>19.78</v>
      </c>
      <c r="Q508">
        <v>14.37</v>
      </c>
      <c r="R508">
        <v>18.260000000000002</v>
      </c>
      <c r="S508">
        <v>2.19</v>
      </c>
      <c r="T508">
        <v>2.2400000000000002</v>
      </c>
      <c r="U508">
        <v>4.29</v>
      </c>
      <c r="V508">
        <v>0.2</v>
      </c>
      <c r="W508">
        <v>178.75</v>
      </c>
      <c r="X508" t="s">
        <v>57</v>
      </c>
      <c r="Y508" t="s">
        <v>33</v>
      </c>
    </row>
    <row r="509" spans="1:25" x14ac:dyDescent="0.3">
      <c r="A509">
        <v>508</v>
      </c>
      <c r="B509" t="s">
        <v>253</v>
      </c>
      <c r="C509" t="s">
        <v>208</v>
      </c>
      <c r="D509" t="s">
        <v>62</v>
      </c>
      <c r="E509" t="s">
        <v>28</v>
      </c>
      <c r="F509">
        <v>2</v>
      </c>
      <c r="G509">
        <v>250</v>
      </c>
      <c r="H509">
        <v>500</v>
      </c>
      <c r="I509">
        <v>110</v>
      </c>
      <c r="J509">
        <v>220</v>
      </c>
      <c r="K509">
        <v>280</v>
      </c>
      <c r="L509" t="s">
        <v>55</v>
      </c>
      <c r="M509" t="s">
        <v>30</v>
      </c>
      <c r="N509" t="s">
        <v>51</v>
      </c>
      <c r="O509">
        <v>39.24</v>
      </c>
      <c r="P509">
        <v>18.79</v>
      </c>
      <c r="Q509">
        <v>6.75</v>
      </c>
      <c r="R509">
        <v>19.16</v>
      </c>
      <c r="S509">
        <v>2.02</v>
      </c>
      <c r="T509">
        <v>9.43</v>
      </c>
      <c r="U509">
        <v>2.11</v>
      </c>
      <c r="V509">
        <v>1.54</v>
      </c>
      <c r="W509">
        <v>180.96</v>
      </c>
      <c r="X509" t="s">
        <v>32</v>
      </c>
      <c r="Y509" t="s">
        <v>40</v>
      </c>
    </row>
    <row r="510" spans="1:25" x14ac:dyDescent="0.3">
      <c r="A510">
        <v>509</v>
      </c>
      <c r="B510" t="s">
        <v>174</v>
      </c>
      <c r="C510" t="s">
        <v>257</v>
      </c>
      <c r="D510" t="s">
        <v>89</v>
      </c>
      <c r="E510" t="s">
        <v>28</v>
      </c>
      <c r="F510">
        <v>2</v>
      </c>
      <c r="G510">
        <v>180</v>
      </c>
      <c r="H510">
        <v>360</v>
      </c>
      <c r="I510">
        <v>75</v>
      </c>
      <c r="J510">
        <v>150</v>
      </c>
      <c r="K510">
        <v>210</v>
      </c>
      <c r="L510" t="s">
        <v>55</v>
      </c>
      <c r="M510" t="s">
        <v>56</v>
      </c>
      <c r="N510" t="s">
        <v>39</v>
      </c>
      <c r="O510">
        <v>34.979999999999997</v>
      </c>
      <c r="P510">
        <v>47.88</v>
      </c>
      <c r="Q510">
        <v>11.98</v>
      </c>
      <c r="R510">
        <v>25.1</v>
      </c>
      <c r="S510">
        <v>4.67</v>
      </c>
      <c r="T510">
        <v>13.51</v>
      </c>
      <c r="U510">
        <v>4.2699999999999996</v>
      </c>
      <c r="V510">
        <v>2.8</v>
      </c>
      <c r="W510">
        <v>64.81</v>
      </c>
      <c r="X510" t="s">
        <v>57</v>
      </c>
      <c r="Y510" t="s">
        <v>40</v>
      </c>
    </row>
    <row r="511" spans="1:25" x14ac:dyDescent="0.3">
      <c r="A511">
        <v>510</v>
      </c>
      <c r="B511" t="s">
        <v>47</v>
      </c>
      <c r="C511" t="s">
        <v>354</v>
      </c>
      <c r="D511" t="s">
        <v>109</v>
      </c>
      <c r="E511" t="s">
        <v>50</v>
      </c>
      <c r="F511">
        <v>2</v>
      </c>
      <c r="G511">
        <v>150</v>
      </c>
      <c r="H511">
        <v>300</v>
      </c>
      <c r="I511">
        <v>70</v>
      </c>
      <c r="J511">
        <v>140</v>
      </c>
      <c r="K511">
        <v>160</v>
      </c>
      <c r="L511" t="s">
        <v>86</v>
      </c>
      <c r="M511" t="s">
        <v>38</v>
      </c>
      <c r="N511" t="s">
        <v>81</v>
      </c>
      <c r="O511">
        <v>32.9</v>
      </c>
      <c r="P511">
        <v>58.92</v>
      </c>
      <c r="Q511">
        <v>14.77</v>
      </c>
      <c r="R511">
        <v>31.46</v>
      </c>
      <c r="S511">
        <v>4.43</v>
      </c>
      <c r="T511">
        <v>5.41</v>
      </c>
      <c r="U511">
        <v>5.43</v>
      </c>
      <c r="V511">
        <v>0.1</v>
      </c>
      <c r="W511">
        <v>6.58</v>
      </c>
      <c r="X511" t="s">
        <v>57</v>
      </c>
      <c r="Y511" t="s">
        <v>40</v>
      </c>
    </row>
    <row r="512" spans="1:25" x14ac:dyDescent="0.3">
      <c r="A512">
        <v>511</v>
      </c>
      <c r="B512" t="s">
        <v>200</v>
      </c>
      <c r="C512" t="s">
        <v>175</v>
      </c>
      <c r="D512" t="s">
        <v>54</v>
      </c>
      <c r="E512" t="s">
        <v>28</v>
      </c>
      <c r="F512">
        <v>2</v>
      </c>
      <c r="G512">
        <v>120</v>
      </c>
      <c r="H512">
        <v>240</v>
      </c>
      <c r="I512">
        <v>50</v>
      </c>
      <c r="J512">
        <v>100</v>
      </c>
      <c r="K512">
        <v>140</v>
      </c>
      <c r="L512" t="s">
        <v>55</v>
      </c>
      <c r="M512" t="s">
        <v>45</v>
      </c>
      <c r="N512" t="s">
        <v>31</v>
      </c>
      <c r="O512">
        <v>38.72</v>
      </c>
      <c r="P512">
        <v>54.96</v>
      </c>
      <c r="Q512">
        <v>19.34</v>
      </c>
      <c r="R512">
        <v>32.51</v>
      </c>
      <c r="S512">
        <v>0.26</v>
      </c>
      <c r="T512">
        <v>13.87</v>
      </c>
      <c r="U512">
        <v>3.87</v>
      </c>
      <c r="V512">
        <v>2.83</v>
      </c>
      <c r="W512">
        <v>-26.36</v>
      </c>
      <c r="X512" t="s">
        <v>57</v>
      </c>
      <c r="Y512" t="s">
        <v>40</v>
      </c>
    </row>
    <row r="513" spans="1:25" x14ac:dyDescent="0.3">
      <c r="A513">
        <v>512</v>
      </c>
      <c r="B513" t="s">
        <v>268</v>
      </c>
      <c r="C513" t="s">
        <v>489</v>
      </c>
      <c r="D513" t="s">
        <v>62</v>
      </c>
      <c r="E513" t="s">
        <v>28</v>
      </c>
      <c r="F513">
        <v>4</v>
      </c>
      <c r="G513">
        <v>250</v>
      </c>
      <c r="H513">
        <v>1000</v>
      </c>
      <c r="I513">
        <v>110</v>
      </c>
      <c r="J513">
        <v>440</v>
      </c>
      <c r="K513">
        <v>560</v>
      </c>
      <c r="L513" t="s">
        <v>86</v>
      </c>
      <c r="M513" t="s">
        <v>56</v>
      </c>
      <c r="N513" t="s">
        <v>39</v>
      </c>
      <c r="O513">
        <v>26.2</v>
      </c>
      <c r="P513">
        <v>57.19</v>
      </c>
      <c r="Q513">
        <v>11</v>
      </c>
      <c r="R513">
        <v>15.92</v>
      </c>
      <c r="S513">
        <v>4.21</v>
      </c>
      <c r="T513">
        <v>5.23</v>
      </c>
      <c r="U513">
        <v>2.91</v>
      </c>
      <c r="V513">
        <v>2.56</v>
      </c>
      <c r="W513">
        <v>434.78</v>
      </c>
      <c r="X513" t="s">
        <v>66</v>
      </c>
      <c r="Y513" t="s">
        <v>40</v>
      </c>
    </row>
    <row r="514" spans="1:25" x14ac:dyDescent="0.3">
      <c r="A514">
        <v>513</v>
      </c>
      <c r="B514" t="s">
        <v>47</v>
      </c>
      <c r="C514" t="s">
        <v>490</v>
      </c>
      <c r="D514" t="s">
        <v>54</v>
      </c>
      <c r="E514" t="s">
        <v>28</v>
      </c>
      <c r="F514">
        <v>3</v>
      </c>
      <c r="G514">
        <v>120</v>
      </c>
      <c r="H514">
        <v>360</v>
      </c>
      <c r="I514">
        <v>50</v>
      </c>
      <c r="J514">
        <v>150</v>
      </c>
      <c r="K514">
        <v>210</v>
      </c>
      <c r="L514" t="s">
        <v>44</v>
      </c>
      <c r="M514" t="s">
        <v>30</v>
      </c>
      <c r="N514" t="s">
        <v>90</v>
      </c>
      <c r="O514">
        <v>28.34</v>
      </c>
      <c r="P514">
        <v>40.119999999999997</v>
      </c>
      <c r="Q514">
        <v>14.32</v>
      </c>
      <c r="R514">
        <v>34.25</v>
      </c>
      <c r="S514">
        <v>3.31</v>
      </c>
      <c r="T514">
        <v>6.26</v>
      </c>
      <c r="U514">
        <v>3.79</v>
      </c>
      <c r="V514">
        <v>1.01</v>
      </c>
      <c r="W514">
        <v>78.599999999999994</v>
      </c>
      <c r="X514" t="s">
        <v>32</v>
      </c>
      <c r="Y514" t="s">
        <v>40</v>
      </c>
    </row>
    <row r="515" spans="1:25" x14ac:dyDescent="0.3">
      <c r="A515">
        <v>514</v>
      </c>
      <c r="B515" t="s">
        <v>277</v>
      </c>
      <c r="C515" t="s">
        <v>442</v>
      </c>
      <c r="D515" t="s">
        <v>43</v>
      </c>
      <c r="E515" t="s">
        <v>43</v>
      </c>
      <c r="F515">
        <v>4</v>
      </c>
      <c r="G515">
        <v>80</v>
      </c>
      <c r="H515">
        <v>320</v>
      </c>
      <c r="I515">
        <v>30</v>
      </c>
      <c r="J515">
        <v>120</v>
      </c>
      <c r="K515">
        <v>200</v>
      </c>
      <c r="L515" t="s">
        <v>55</v>
      </c>
      <c r="M515" t="s">
        <v>45</v>
      </c>
      <c r="N515" t="s">
        <v>51</v>
      </c>
      <c r="O515">
        <v>22.95</v>
      </c>
      <c r="P515">
        <v>42.06</v>
      </c>
      <c r="Q515">
        <v>11.7</v>
      </c>
      <c r="R515">
        <v>11.68</v>
      </c>
      <c r="S515">
        <v>3.89</v>
      </c>
      <c r="T515">
        <v>3.34</v>
      </c>
      <c r="U515">
        <v>3.46</v>
      </c>
      <c r="V515">
        <v>1.9</v>
      </c>
      <c r="W515">
        <v>99.02</v>
      </c>
      <c r="X515" t="s">
        <v>57</v>
      </c>
      <c r="Y515" t="s">
        <v>40</v>
      </c>
    </row>
    <row r="516" spans="1:25" x14ac:dyDescent="0.3">
      <c r="A516">
        <v>515</v>
      </c>
      <c r="B516" t="s">
        <v>414</v>
      </c>
      <c r="C516" t="s">
        <v>260</v>
      </c>
      <c r="D516" t="s">
        <v>89</v>
      </c>
      <c r="E516" t="s">
        <v>28</v>
      </c>
      <c r="F516">
        <v>4</v>
      </c>
      <c r="G516">
        <v>180</v>
      </c>
      <c r="H516">
        <v>720</v>
      </c>
      <c r="I516">
        <v>75</v>
      </c>
      <c r="J516">
        <v>300</v>
      </c>
      <c r="K516">
        <v>420</v>
      </c>
      <c r="L516" t="s">
        <v>86</v>
      </c>
      <c r="M516" t="s">
        <v>45</v>
      </c>
      <c r="N516" t="s">
        <v>39</v>
      </c>
      <c r="O516">
        <v>36.479999999999997</v>
      </c>
      <c r="P516">
        <v>19.25</v>
      </c>
      <c r="Q516">
        <v>10.32</v>
      </c>
      <c r="R516">
        <v>8.84</v>
      </c>
      <c r="S516">
        <v>0.02</v>
      </c>
      <c r="T516">
        <v>5.12</v>
      </c>
      <c r="U516">
        <v>3.74</v>
      </c>
      <c r="V516">
        <v>1.0900000000000001</v>
      </c>
      <c r="W516">
        <v>335.14</v>
      </c>
      <c r="X516" t="s">
        <v>57</v>
      </c>
      <c r="Y516" t="s">
        <v>40</v>
      </c>
    </row>
    <row r="517" spans="1:25" x14ac:dyDescent="0.3">
      <c r="A517">
        <v>516</v>
      </c>
      <c r="B517" t="s">
        <v>356</v>
      </c>
      <c r="C517" t="s">
        <v>463</v>
      </c>
      <c r="D517" t="s">
        <v>36</v>
      </c>
      <c r="E517" t="s">
        <v>28</v>
      </c>
      <c r="F517">
        <v>3</v>
      </c>
      <c r="G517">
        <v>220</v>
      </c>
      <c r="H517">
        <v>660</v>
      </c>
      <c r="I517">
        <v>100</v>
      </c>
      <c r="J517">
        <v>300</v>
      </c>
      <c r="K517">
        <v>360</v>
      </c>
      <c r="L517" t="s">
        <v>44</v>
      </c>
      <c r="M517" t="s">
        <v>63</v>
      </c>
      <c r="N517" t="s">
        <v>90</v>
      </c>
      <c r="O517">
        <v>13.03</v>
      </c>
      <c r="P517">
        <v>18.149999999999999</v>
      </c>
      <c r="Q517">
        <v>6.45</v>
      </c>
      <c r="R517">
        <v>2.5099999999999998</v>
      </c>
      <c r="S517">
        <v>4.6399999999999997</v>
      </c>
      <c r="T517">
        <v>4.17</v>
      </c>
      <c r="U517">
        <v>6.06</v>
      </c>
      <c r="V517">
        <v>0.12</v>
      </c>
      <c r="W517">
        <v>304.87</v>
      </c>
      <c r="X517" t="s">
        <v>66</v>
      </c>
      <c r="Y517" t="s">
        <v>40</v>
      </c>
    </row>
    <row r="518" spans="1:25" x14ac:dyDescent="0.3">
      <c r="A518">
        <v>517</v>
      </c>
      <c r="B518" t="s">
        <v>314</v>
      </c>
      <c r="C518" t="s">
        <v>469</v>
      </c>
      <c r="D518" t="s">
        <v>27</v>
      </c>
      <c r="E518" t="s">
        <v>28</v>
      </c>
      <c r="F518">
        <v>4</v>
      </c>
      <c r="G518">
        <v>200</v>
      </c>
      <c r="H518">
        <v>800</v>
      </c>
      <c r="I518">
        <v>90</v>
      </c>
      <c r="J518">
        <v>360</v>
      </c>
      <c r="K518">
        <v>440</v>
      </c>
      <c r="L518" t="s">
        <v>29</v>
      </c>
      <c r="M518" t="s">
        <v>63</v>
      </c>
      <c r="N518" t="s">
        <v>81</v>
      </c>
      <c r="O518">
        <v>26.85</v>
      </c>
      <c r="P518">
        <v>49.89</v>
      </c>
      <c r="Q518">
        <v>13.64</v>
      </c>
      <c r="R518">
        <v>21.84</v>
      </c>
      <c r="S518">
        <v>4.3</v>
      </c>
      <c r="T518">
        <v>8.93</v>
      </c>
      <c r="U518">
        <v>1.3</v>
      </c>
      <c r="V518">
        <v>1.43</v>
      </c>
      <c r="W518">
        <v>311.82</v>
      </c>
      <c r="X518" t="s">
        <v>57</v>
      </c>
      <c r="Y518" t="s">
        <v>33</v>
      </c>
    </row>
    <row r="519" spans="1:25" x14ac:dyDescent="0.3">
      <c r="A519">
        <v>518</v>
      </c>
      <c r="B519" t="s">
        <v>128</v>
      </c>
      <c r="C519" t="s">
        <v>308</v>
      </c>
      <c r="D519" t="s">
        <v>62</v>
      </c>
      <c r="E519" t="s">
        <v>28</v>
      </c>
      <c r="F519">
        <v>2</v>
      </c>
      <c r="G519">
        <v>250</v>
      </c>
      <c r="H519">
        <v>500</v>
      </c>
      <c r="I519">
        <v>110</v>
      </c>
      <c r="J519">
        <v>220</v>
      </c>
      <c r="K519">
        <v>280</v>
      </c>
      <c r="L519" t="s">
        <v>44</v>
      </c>
      <c r="M519" t="s">
        <v>38</v>
      </c>
      <c r="N519" t="s">
        <v>81</v>
      </c>
      <c r="O519">
        <v>18.100000000000001</v>
      </c>
      <c r="P519">
        <v>44.95</v>
      </c>
      <c r="Q519">
        <v>5.2</v>
      </c>
      <c r="R519">
        <v>26.66</v>
      </c>
      <c r="S519">
        <v>2.74</v>
      </c>
      <c r="T519">
        <v>7.03</v>
      </c>
      <c r="U519">
        <v>1.99</v>
      </c>
      <c r="V519">
        <v>0.85</v>
      </c>
      <c r="W519">
        <v>172.48</v>
      </c>
      <c r="X519" t="s">
        <v>57</v>
      </c>
      <c r="Y519" t="s">
        <v>33</v>
      </c>
    </row>
    <row r="520" spans="1:25" x14ac:dyDescent="0.3">
      <c r="A520">
        <v>519</v>
      </c>
      <c r="B520" t="s">
        <v>491</v>
      </c>
      <c r="C520" t="s">
        <v>439</v>
      </c>
      <c r="D520" t="s">
        <v>62</v>
      </c>
      <c r="E520" t="s">
        <v>28</v>
      </c>
      <c r="F520">
        <v>3</v>
      </c>
      <c r="G520">
        <v>250</v>
      </c>
      <c r="H520">
        <v>750</v>
      </c>
      <c r="I520">
        <v>110</v>
      </c>
      <c r="J520">
        <v>330</v>
      </c>
      <c r="K520">
        <v>420</v>
      </c>
      <c r="L520" t="s">
        <v>29</v>
      </c>
      <c r="M520" t="s">
        <v>30</v>
      </c>
      <c r="N520" t="s">
        <v>90</v>
      </c>
      <c r="O520">
        <v>12.47</v>
      </c>
      <c r="P520">
        <v>18.920000000000002</v>
      </c>
      <c r="Q520">
        <v>17.940000000000001</v>
      </c>
      <c r="R520">
        <v>34.700000000000003</v>
      </c>
      <c r="S520">
        <v>3.45</v>
      </c>
      <c r="T520">
        <v>6.01</v>
      </c>
      <c r="U520">
        <v>4.71</v>
      </c>
      <c r="V520">
        <v>0.84</v>
      </c>
      <c r="W520">
        <v>320.95999999999998</v>
      </c>
      <c r="X520" t="s">
        <v>57</v>
      </c>
      <c r="Y520" t="s">
        <v>40</v>
      </c>
    </row>
    <row r="521" spans="1:25" x14ac:dyDescent="0.3">
      <c r="A521">
        <v>520</v>
      </c>
      <c r="B521" t="s">
        <v>155</v>
      </c>
      <c r="C521" t="s">
        <v>492</v>
      </c>
      <c r="D521" t="s">
        <v>36</v>
      </c>
      <c r="E521" t="s">
        <v>28</v>
      </c>
      <c r="F521">
        <v>3</v>
      </c>
      <c r="G521">
        <v>220</v>
      </c>
      <c r="H521">
        <v>660</v>
      </c>
      <c r="I521">
        <v>100</v>
      </c>
      <c r="J521">
        <v>300</v>
      </c>
      <c r="K521">
        <v>360</v>
      </c>
      <c r="L521" t="s">
        <v>55</v>
      </c>
      <c r="M521" t="s">
        <v>45</v>
      </c>
      <c r="N521" t="s">
        <v>90</v>
      </c>
      <c r="O521">
        <v>32.119999999999997</v>
      </c>
      <c r="P521">
        <v>19.399999999999999</v>
      </c>
      <c r="Q521">
        <v>5.0999999999999996</v>
      </c>
      <c r="R521">
        <v>26.98</v>
      </c>
      <c r="S521">
        <v>0.47</v>
      </c>
      <c r="T521">
        <v>12.05</v>
      </c>
      <c r="U521">
        <v>7.95</v>
      </c>
      <c r="V521">
        <v>2.12</v>
      </c>
      <c r="W521">
        <v>253.81</v>
      </c>
      <c r="X521" t="s">
        <v>66</v>
      </c>
      <c r="Y521" t="s">
        <v>33</v>
      </c>
    </row>
    <row r="522" spans="1:25" x14ac:dyDescent="0.3">
      <c r="A522">
        <v>521</v>
      </c>
      <c r="B522" t="s">
        <v>172</v>
      </c>
      <c r="C522" t="s">
        <v>493</v>
      </c>
      <c r="D522" t="s">
        <v>109</v>
      </c>
      <c r="E522" t="s">
        <v>50</v>
      </c>
      <c r="F522">
        <v>1</v>
      </c>
      <c r="G522">
        <v>150</v>
      </c>
      <c r="H522">
        <v>150</v>
      </c>
      <c r="I522">
        <v>70</v>
      </c>
      <c r="J522">
        <v>70</v>
      </c>
      <c r="K522">
        <v>80</v>
      </c>
      <c r="L522" t="s">
        <v>55</v>
      </c>
      <c r="M522" t="s">
        <v>56</v>
      </c>
      <c r="N522" t="s">
        <v>46</v>
      </c>
      <c r="O522">
        <v>18.260000000000002</v>
      </c>
      <c r="P522">
        <v>42.43</v>
      </c>
      <c r="Q522">
        <v>17.850000000000001</v>
      </c>
      <c r="R522">
        <v>28.52</v>
      </c>
      <c r="S522">
        <v>2.94</v>
      </c>
      <c r="T522">
        <v>3.33</v>
      </c>
      <c r="U522">
        <v>6.36</v>
      </c>
      <c r="V522">
        <v>2.0499999999999998</v>
      </c>
      <c r="W522">
        <v>-41.74</v>
      </c>
      <c r="X522" t="s">
        <v>32</v>
      </c>
      <c r="Y522" t="s">
        <v>40</v>
      </c>
    </row>
    <row r="523" spans="1:25" x14ac:dyDescent="0.3">
      <c r="A523">
        <v>522</v>
      </c>
      <c r="B523" t="s">
        <v>177</v>
      </c>
      <c r="C523" t="s">
        <v>494</v>
      </c>
      <c r="D523" t="s">
        <v>43</v>
      </c>
      <c r="E523" t="s">
        <v>43</v>
      </c>
      <c r="F523">
        <v>1</v>
      </c>
      <c r="G523">
        <v>80</v>
      </c>
      <c r="H523">
        <v>80</v>
      </c>
      <c r="I523">
        <v>30</v>
      </c>
      <c r="J523">
        <v>30</v>
      </c>
      <c r="K523">
        <v>50</v>
      </c>
      <c r="L523" t="s">
        <v>29</v>
      </c>
      <c r="M523" t="s">
        <v>56</v>
      </c>
      <c r="N523" t="s">
        <v>90</v>
      </c>
      <c r="O523">
        <v>35.86</v>
      </c>
      <c r="P523">
        <v>25.95</v>
      </c>
      <c r="Q523">
        <v>6.46</v>
      </c>
      <c r="R523">
        <v>16.63</v>
      </c>
      <c r="S523">
        <v>2.68</v>
      </c>
      <c r="T523">
        <v>4.88</v>
      </c>
      <c r="U523">
        <v>6.69</v>
      </c>
      <c r="V523">
        <v>0.48</v>
      </c>
      <c r="W523">
        <v>-49.63</v>
      </c>
      <c r="X523" t="s">
        <v>57</v>
      </c>
      <c r="Y523" t="s">
        <v>40</v>
      </c>
    </row>
    <row r="524" spans="1:25" x14ac:dyDescent="0.3">
      <c r="A524">
        <v>523</v>
      </c>
      <c r="B524" t="s">
        <v>307</v>
      </c>
      <c r="C524" t="s">
        <v>355</v>
      </c>
      <c r="D524" t="s">
        <v>109</v>
      </c>
      <c r="E524" t="s">
        <v>50</v>
      </c>
      <c r="F524">
        <v>4</v>
      </c>
      <c r="G524">
        <v>150</v>
      </c>
      <c r="H524">
        <v>600</v>
      </c>
      <c r="I524">
        <v>70</v>
      </c>
      <c r="J524">
        <v>280</v>
      </c>
      <c r="K524">
        <v>320</v>
      </c>
      <c r="L524" t="s">
        <v>37</v>
      </c>
      <c r="M524" t="s">
        <v>38</v>
      </c>
      <c r="N524" t="s">
        <v>46</v>
      </c>
      <c r="O524">
        <v>19.2</v>
      </c>
      <c r="P524">
        <v>17.86</v>
      </c>
      <c r="Q524">
        <v>12.49</v>
      </c>
      <c r="R524">
        <v>16.87</v>
      </c>
      <c r="S524">
        <v>3.21</v>
      </c>
      <c r="T524">
        <v>11.33</v>
      </c>
      <c r="U524">
        <v>2.65</v>
      </c>
      <c r="V524">
        <v>1.36</v>
      </c>
      <c r="W524">
        <v>235.03</v>
      </c>
      <c r="X524" t="s">
        <v>32</v>
      </c>
      <c r="Y524" t="s">
        <v>33</v>
      </c>
    </row>
    <row r="525" spans="1:25" x14ac:dyDescent="0.3">
      <c r="A525">
        <v>524</v>
      </c>
      <c r="B525" t="s">
        <v>425</v>
      </c>
      <c r="C525" t="s">
        <v>495</v>
      </c>
      <c r="D525" t="s">
        <v>27</v>
      </c>
      <c r="E525" t="s">
        <v>28</v>
      </c>
      <c r="F525">
        <v>2</v>
      </c>
      <c r="G525">
        <v>200</v>
      </c>
      <c r="H525">
        <v>400</v>
      </c>
      <c r="I525">
        <v>90</v>
      </c>
      <c r="J525">
        <v>180</v>
      </c>
      <c r="K525">
        <v>220</v>
      </c>
      <c r="L525" t="s">
        <v>55</v>
      </c>
      <c r="M525" t="s">
        <v>45</v>
      </c>
      <c r="N525" t="s">
        <v>51</v>
      </c>
      <c r="O525">
        <v>28.09</v>
      </c>
      <c r="P525">
        <v>37.5</v>
      </c>
      <c r="Q525">
        <v>19.61</v>
      </c>
      <c r="R525">
        <v>19.559999999999999</v>
      </c>
      <c r="S525">
        <v>1</v>
      </c>
      <c r="T525">
        <v>3.07</v>
      </c>
      <c r="U525">
        <v>1.27</v>
      </c>
      <c r="V525">
        <v>2.21</v>
      </c>
      <c r="W525">
        <v>107.69</v>
      </c>
      <c r="X525" t="s">
        <v>32</v>
      </c>
      <c r="Y525" t="s">
        <v>40</v>
      </c>
    </row>
    <row r="526" spans="1:25" x14ac:dyDescent="0.3">
      <c r="A526">
        <v>525</v>
      </c>
      <c r="B526" t="s">
        <v>60</v>
      </c>
      <c r="C526" t="s">
        <v>496</v>
      </c>
      <c r="D526" t="s">
        <v>49</v>
      </c>
      <c r="E526" t="s">
        <v>50</v>
      </c>
      <c r="F526">
        <v>2</v>
      </c>
      <c r="G526">
        <v>180</v>
      </c>
      <c r="H526">
        <v>360</v>
      </c>
      <c r="I526">
        <v>90</v>
      </c>
      <c r="J526">
        <v>180</v>
      </c>
      <c r="K526">
        <v>180</v>
      </c>
      <c r="L526" t="s">
        <v>55</v>
      </c>
      <c r="M526" t="s">
        <v>63</v>
      </c>
      <c r="N526" t="s">
        <v>81</v>
      </c>
      <c r="O526">
        <v>14.95</v>
      </c>
      <c r="P526">
        <v>20.2</v>
      </c>
      <c r="Q526">
        <v>17.21</v>
      </c>
      <c r="R526">
        <v>21.25</v>
      </c>
      <c r="S526">
        <v>1.81</v>
      </c>
      <c r="T526">
        <v>4.99</v>
      </c>
      <c r="U526">
        <v>6.03</v>
      </c>
      <c r="V526">
        <v>2.29</v>
      </c>
      <c r="W526">
        <v>91.27</v>
      </c>
      <c r="X526" t="s">
        <v>57</v>
      </c>
      <c r="Y526" t="s">
        <v>33</v>
      </c>
    </row>
    <row r="527" spans="1:25" x14ac:dyDescent="0.3">
      <c r="A527">
        <v>526</v>
      </c>
      <c r="B527" t="s">
        <v>117</v>
      </c>
      <c r="C527" t="s">
        <v>497</v>
      </c>
      <c r="D527" t="s">
        <v>27</v>
      </c>
      <c r="E527" t="s">
        <v>28</v>
      </c>
      <c r="F527">
        <v>1</v>
      </c>
      <c r="G527">
        <v>200</v>
      </c>
      <c r="H527">
        <v>200</v>
      </c>
      <c r="I527">
        <v>90</v>
      </c>
      <c r="J527">
        <v>90</v>
      </c>
      <c r="K527">
        <v>110</v>
      </c>
      <c r="L527" t="s">
        <v>44</v>
      </c>
      <c r="M527" t="s">
        <v>45</v>
      </c>
      <c r="N527" t="s">
        <v>31</v>
      </c>
      <c r="O527">
        <v>22.61</v>
      </c>
      <c r="P527">
        <v>54.16</v>
      </c>
      <c r="Q527">
        <v>8.25</v>
      </c>
      <c r="R527">
        <v>20.149999999999999</v>
      </c>
      <c r="S527">
        <v>3.33</v>
      </c>
      <c r="T527">
        <v>7.41</v>
      </c>
      <c r="U527">
        <v>3.26</v>
      </c>
      <c r="V527">
        <v>1.37</v>
      </c>
      <c r="W527">
        <v>-10.54</v>
      </c>
      <c r="X527" t="s">
        <v>66</v>
      </c>
      <c r="Y527" t="s">
        <v>40</v>
      </c>
    </row>
    <row r="528" spans="1:25" x14ac:dyDescent="0.3">
      <c r="A528">
        <v>527</v>
      </c>
      <c r="B528" t="s">
        <v>287</v>
      </c>
      <c r="C528" t="s">
        <v>217</v>
      </c>
      <c r="D528" t="s">
        <v>27</v>
      </c>
      <c r="E528" t="s">
        <v>28</v>
      </c>
      <c r="F528">
        <v>1</v>
      </c>
      <c r="G528">
        <v>200</v>
      </c>
      <c r="H528">
        <v>200</v>
      </c>
      <c r="I528">
        <v>90</v>
      </c>
      <c r="J528">
        <v>90</v>
      </c>
      <c r="K528">
        <v>110</v>
      </c>
      <c r="L528" t="s">
        <v>29</v>
      </c>
      <c r="M528" t="s">
        <v>63</v>
      </c>
      <c r="N528" t="s">
        <v>46</v>
      </c>
      <c r="O528">
        <v>19.53</v>
      </c>
      <c r="P528">
        <v>26.61</v>
      </c>
      <c r="Q528">
        <v>11.92</v>
      </c>
      <c r="R528">
        <v>22.26</v>
      </c>
      <c r="S528">
        <v>2.0699999999999998</v>
      </c>
      <c r="T528">
        <v>4.59</v>
      </c>
      <c r="U528">
        <v>7.64</v>
      </c>
      <c r="V528">
        <v>0.52</v>
      </c>
      <c r="W528">
        <v>14.86</v>
      </c>
      <c r="X528" t="s">
        <v>66</v>
      </c>
      <c r="Y528" t="s">
        <v>40</v>
      </c>
    </row>
    <row r="529" spans="1:25" x14ac:dyDescent="0.3">
      <c r="A529">
        <v>528</v>
      </c>
      <c r="B529" t="s">
        <v>67</v>
      </c>
      <c r="C529" t="s">
        <v>498</v>
      </c>
      <c r="D529" t="s">
        <v>54</v>
      </c>
      <c r="E529" t="s">
        <v>28</v>
      </c>
      <c r="F529">
        <v>1</v>
      </c>
      <c r="G529">
        <v>120</v>
      </c>
      <c r="H529">
        <v>120</v>
      </c>
      <c r="I529">
        <v>50</v>
      </c>
      <c r="J529">
        <v>50</v>
      </c>
      <c r="K529">
        <v>70</v>
      </c>
      <c r="L529" t="s">
        <v>29</v>
      </c>
      <c r="M529" t="s">
        <v>30</v>
      </c>
      <c r="N529" t="s">
        <v>46</v>
      </c>
      <c r="O529">
        <v>17.059999999999999</v>
      </c>
      <c r="P529">
        <v>45.92</v>
      </c>
      <c r="Q529">
        <v>19.510000000000002</v>
      </c>
      <c r="R529">
        <v>5.85</v>
      </c>
      <c r="S529">
        <v>0.47</v>
      </c>
      <c r="T529">
        <v>4.66</v>
      </c>
      <c r="U529">
        <v>7.28</v>
      </c>
      <c r="V529">
        <v>2.8</v>
      </c>
      <c r="W529">
        <v>-33.549999999999997</v>
      </c>
      <c r="X529" t="s">
        <v>66</v>
      </c>
      <c r="Y529" t="s">
        <v>40</v>
      </c>
    </row>
    <row r="530" spans="1:25" x14ac:dyDescent="0.3">
      <c r="A530">
        <v>529</v>
      </c>
      <c r="B530" t="s">
        <v>147</v>
      </c>
      <c r="C530" t="s">
        <v>499</v>
      </c>
      <c r="D530" t="s">
        <v>43</v>
      </c>
      <c r="E530" t="s">
        <v>43</v>
      </c>
      <c r="F530">
        <v>2</v>
      </c>
      <c r="G530">
        <v>80</v>
      </c>
      <c r="H530">
        <v>160</v>
      </c>
      <c r="I530">
        <v>30</v>
      </c>
      <c r="J530">
        <v>60</v>
      </c>
      <c r="K530">
        <v>100</v>
      </c>
      <c r="L530" t="s">
        <v>86</v>
      </c>
      <c r="M530" t="s">
        <v>45</v>
      </c>
      <c r="N530" t="s">
        <v>51</v>
      </c>
      <c r="O530">
        <v>14</v>
      </c>
      <c r="P530">
        <v>37.99</v>
      </c>
      <c r="Q530">
        <v>17.850000000000001</v>
      </c>
      <c r="R530">
        <v>34.68</v>
      </c>
      <c r="S530">
        <v>1.59</v>
      </c>
      <c r="T530">
        <v>12.93</v>
      </c>
      <c r="U530">
        <v>1.41</v>
      </c>
      <c r="V530">
        <v>1.96</v>
      </c>
      <c r="W530">
        <v>-22.41</v>
      </c>
      <c r="X530" t="s">
        <v>32</v>
      </c>
      <c r="Y530" t="s">
        <v>40</v>
      </c>
    </row>
    <row r="531" spans="1:25" x14ac:dyDescent="0.3">
      <c r="A531">
        <v>530</v>
      </c>
      <c r="B531" t="s">
        <v>500</v>
      </c>
      <c r="C531" t="s">
        <v>260</v>
      </c>
      <c r="D531" t="s">
        <v>62</v>
      </c>
      <c r="E531" t="s">
        <v>28</v>
      </c>
      <c r="F531">
        <v>2</v>
      </c>
      <c r="G531">
        <v>250</v>
      </c>
      <c r="H531">
        <v>500</v>
      </c>
      <c r="I531">
        <v>110</v>
      </c>
      <c r="J531">
        <v>220</v>
      </c>
      <c r="K531">
        <v>280</v>
      </c>
      <c r="L531" t="s">
        <v>37</v>
      </c>
      <c r="M531" t="s">
        <v>45</v>
      </c>
      <c r="N531" t="s">
        <v>31</v>
      </c>
      <c r="O531">
        <v>11.88</v>
      </c>
      <c r="P531">
        <v>32.880000000000003</v>
      </c>
      <c r="Q531">
        <v>17.87</v>
      </c>
      <c r="R531">
        <v>5.14</v>
      </c>
      <c r="S531">
        <v>4.05</v>
      </c>
      <c r="T531">
        <v>2.98</v>
      </c>
      <c r="U531">
        <v>6.46</v>
      </c>
      <c r="V531">
        <v>1.77</v>
      </c>
      <c r="W531">
        <v>196.97</v>
      </c>
      <c r="X531" t="s">
        <v>57</v>
      </c>
      <c r="Y531" t="s">
        <v>40</v>
      </c>
    </row>
    <row r="532" spans="1:25" x14ac:dyDescent="0.3">
      <c r="A532">
        <v>531</v>
      </c>
      <c r="B532" t="s">
        <v>501</v>
      </c>
      <c r="C532" t="s">
        <v>142</v>
      </c>
      <c r="D532" t="s">
        <v>109</v>
      </c>
      <c r="E532" t="s">
        <v>50</v>
      </c>
      <c r="F532">
        <v>1</v>
      </c>
      <c r="G532">
        <v>150</v>
      </c>
      <c r="H532">
        <v>150</v>
      </c>
      <c r="I532">
        <v>70</v>
      </c>
      <c r="J532">
        <v>70</v>
      </c>
      <c r="K532">
        <v>80</v>
      </c>
      <c r="L532" t="s">
        <v>29</v>
      </c>
      <c r="M532" t="s">
        <v>63</v>
      </c>
      <c r="N532" t="s">
        <v>81</v>
      </c>
      <c r="O532">
        <v>24.41</v>
      </c>
      <c r="P532">
        <v>44.52</v>
      </c>
      <c r="Q532">
        <v>17.170000000000002</v>
      </c>
      <c r="R532">
        <v>9.7200000000000006</v>
      </c>
      <c r="S532">
        <v>1.81</v>
      </c>
      <c r="T532">
        <v>6.47</v>
      </c>
      <c r="U532">
        <v>1.44</v>
      </c>
      <c r="V532">
        <v>1.24</v>
      </c>
      <c r="W532">
        <v>-26.78</v>
      </c>
      <c r="X532" t="s">
        <v>32</v>
      </c>
      <c r="Y532" t="s">
        <v>33</v>
      </c>
    </row>
    <row r="533" spans="1:25" x14ac:dyDescent="0.3">
      <c r="A533">
        <v>532</v>
      </c>
      <c r="B533" t="s">
        <v>262</v>
      </c>
      <c r="C533" t="s">
        <v>373</v>
      </c>
      <c r="D533" t="s">
        <v>109</v>
      </c>
      <c r="E533" t="s">
        <v>50</v>
      </c>
      <c r="F533">
        <v>2</v>
      </c>
      <c r="G533">
        <v>150</v>
      </c>
      <c r="H533">
        <v>300</v>
      </c>
      <c r="I533">
        <v>70</v>
      </c>
      <c r="J533">
        <v>140</v>
      </c>
      <c r="K533">
        <v>160</v>
      </c>
      <c r="L533" t="s">
        <v>86</v>
      </c>
      <c r="M533" t="s">
        <v>56</v>
      </c>
      <c r="N533" t="s">
        <v>46</v>
      </c>
      <c r="O533">
        <v>28.92</v>
      </c>
      <c r="P533">
        <v>20.88</v>
      </c>
      <c r="Q533">
        <v>16.920000000000002</v>
      </c>
      <c r="R533">
        <v>32.200000000000003</v>
      </c>
      <c r="S533">
        <v>1.35</v>
      </c>
      <c r="T533">
        <v>13.27</v>
      </c>
      <c r="U533">
        <v>6.98</v>
      </c>
      <c r="V533">
        <v>2.8</v>
      </c>
      <c r="W533">
        <v>36.68</v>
      </c>
      <c r="X533" t="s">
        <v>57</v>
      </c>
      <c r="Y533" t="s">
        <v>40</v>
      </c>
    </row>
    <row r="534" spans="1:25" x14ac:dyDescent="0.3">
      <c r="A534">
        <v>533</v>
      </c>
      <c r="B534" t="s">
        <v>303</v>
      </c>
      <c r="C534" t="s">
        <v>451</v>
      </c>
      <c r="D534" t="s">
        <v>43</v>
      </c>
      <c r="E534" t="s">
        <v>43</v>
      </c>
      <c r="F534">
        <v>2</v>
      </c>
      <c r="G534">
        <v>80</v>
      </c>
      <c r="H534">
        <v>160</v>
      </c>
      <c r="I534">
        <v>30</v>
      </c>
      <c r="J534">
        <v>60</v>
      </c>
      <c r="K534">
        <v>100</v>
      </c>
      <c r="L534" t="s">
        <v>55</v>
      </c>
      <c r="M534" t="s">
        <v>63</v>
      </c>
      <c r="N534" t="s">
        <v>90</v>
      </c>
      <c r="O534">
        <v>27.69</v>
      </c>
      <c r="P534">
        <v>39.76</v>
      </c>
      <c r="Q534">
        <v>5.66</v>
      </c>
      <c r="R534">
        <v>13.73</v>
      </c>
      <c r="S534">
        <v>3.4</v>
      </c>
      <c r="T534">
        <v>6.16</v>
      </c>
      <c r="U534">
        <v>1.66</v>
      </c>
      <c r="V534">
        <v>2.71</v>
      </c>
      <c r="W534">
        <v>-0.77</v>
      </c>
      <c r="X534" t="s">
        <v>57</v>
      </c>
      <c r="Y534" t="s">
        <v>40</v>
      </c>
    </row>
    <row r="535" spans="1:25" x14ac:dyDescent="0.3">
      <c r="A535">
        <v>534</v>
      </c>
      <c r="B535" t="s">
        <v>256</v>
      </c>
      <c r="C535" t="s">
        <v>449</v>
      </c>
      <c r="D535" t="s">
        <v>43</v>
      </c>
      <c r="E535" t="s">
        <v>43</v>
      </c>
      <c r="F535">
        <v>2</v>
      </c>
      <c r="G535">
        <v>80</v>
      </c>
      <c r="H535">
        <v>160</v>
      </c>
      <c r="I535">
        <v>30</v>
      </c>
      <c r="J535">
        <v>60</v>
      </c>
      <c r="K535">
        <v>100</v>
      </c>
      <c r="L535" t="s">
        <v>29</v>
      </c>
      <c r="M535" t="s">
        <v>56</v>
      </c>
      <c r="N535" t="s">
        <v>51</v>
      </c>
      <c r="O535">
        <v>29.7</v>
      </c>
      <c r="P535">
        <v>55.96</v>
      </c>
      <c r="Q535">
        <v>13.84</v>
      </c>
      <c r="R535">
        <v>20.71</v>
      </c>
      <c r="S535">
        <v>4.03</v>
      </c>
      <c r="T535">
        <v>7.97</v>
      </c>
      <c r="U535">
        <v>2.5099999999999998</v>
      </c>
      <c r="V535">
        <v>2.33</v>
      </c>
      <c r="W535">
        <v>-37.049999999999997</v>
      </c>
      <c r="X535" t="s">
        <v>57</v>
      </c>
      <c r="Y535" t="s">
        <v>40</v>
      </c>
    </row>
    <row r="536" spans="1:25" x14ac:dyDescent="0.3">
      <c r="A536">
        <v>535</v>
      </c>
      <c r="B536" t="s">
        <v>229</v>
      </c>
      <c r="C536" t="s">
        <v>251</v>
      </c>
      <c r="D536" t="s">
        <v>27</v>
      </c>
      <c r="E536" t="s">
        <v>28</v>
      </c>
      <c r="F536">
        <v>1</v>
      </c>
      <c r="G536">
        <v>200</v>
      </c>
      <c r="H536">
        <v>200</v>
      </c>
      <c r="I536">
        <v>90</v>
      </c>
      <c r="J536">
        <v>90</v>
      </c>
      <c r="K536">
        <v>110</v>
      </c>
      <c r="L536" t="s">
        <v>37</v>
      </c>
      <c r="M536" t="s">
        <v>38</v>
      </c>
      <c r="N536" t="s">
        <v>81</v>
      </c>
      <c r="O536">
        <v>36.36</v>
      </c>
      <c r="P536">
        <v>36.590000000000003</v>
      </c>
      <c r="Q536">
        <v>18.46</v>
      </c>
      <c r="R536">
        <v>14.83</v>
      </c>
      <c r="S536">
        <v>2.41</v>
      </c>
      <c r="T536">
        <v>14.84</v>
      </c>
      <c r="U536">
        <v>4.17</v>
      </c>
      <c r="V536">
        <v>1.23</v>
      </c>
      <c r="W536">
        <v>-18.89</v>
      </c>
      <c r="X536" t="s">
        <v>66</v>
      </c>
      <c r="Y536" t="s">
        <v>33</v>
      </c>
    </row>
    <row r="537" spans="1:25" x14ac:dyDescent="0.3">
      <c r="A537">
        <v>536</v>
      </c>
      <c r="B537" t="s">
        <v>159</v>
      </c>
      <c r="C537" t="s">
        <v>429</v>
      </c>
      <c r="D537" t="s">
        <v>89</v>
      </c>
      <c r="E537" t="s">
        <v>28</v>
      </c>
      <c r="F537">
        <v>3</v>
      </c>
      <c r="G537">
        <v>180</v>
      </c>
      <c r="H537">
        <v>540</v>
      </c>
      <c r="I537">
        <v>75</v>
      </c>
      <c r="J537">
        <v>225</v>
      </c>
      <c r="K537">
        <v>315</v>
      </c>
      <c r="L537" t="s">
        <v>55</v>
      </c>
      <c r="M537" t="s">
        <v>30</v>
      </c>
      <c r="N537" t="s">
        <v>90</v>
      </c>
      <c r="O537">
        <v>27.03</v>
      </c>
      <c r="P537">
        <v>40.22</v>
      </c>
      <c r="Q537">
        <v>19.670000000000002</v>
      </c>
      <c r="R537">
        <v>12.81</v>
      </c>
      <c r="S537">
        <v>1.0900000000000001</v>
      </c>
      <c r="T537">
        <v>3.88</v>
      </c>
      <c r="U537">
        <v>1.46</v>
      </c>
      <c r="V537">
        <v>2</v>
      </c>
      <c r="W537">
        <v>206.84</v>
      </c>
      <c r="X537" t="s">
        <v>57</v>
      </c>
      <c r="Y537" t="s">
        <v>33</v>
      </c>
    </row>
    <row r="538" spans="1:25" x14ac:dyDescent="0.3">
      <c r="A538">
        <v>537</v>
      </c>
      <c r="B538" t="s">
        <v>502</v>
      </c>
      <c r="C538" t="s">
        <v>173</v>
      </c>
      <c r="D538" t="s">
        <v>109</v>
      </c>
      <c r="E538" t="s">
        <v>50</v>
      </c>
      <c r="F538">
        <v>2</v>
      </c>
      <c r="G538">
        <v>150</v>
      </c>
      <c r="H538">
        <v>300</v>
      </c>
      <c r="I538">
        <v>70</v>
      </c>
      <c r="J538">
        <v>140</v>
      </c>
      <c r="K538">
        <v>160</v>
      </c>
      <c r="L538" t="s">
        <v>29</v>
      </c>
      <c r="M538" t="s">
        <v>56</v>
      </c>
      <c r="N538" t="s">
        <v>31</v>
      </c>
      <c r="O538">
        <v>11.87</v>
      </c>
      <c r="P538">
        <v>51.22</v>
      </c>
      <c r="Q538">
        <v>6.08</v>
      </c>
      <c r="R538">
        <v>17.38</v>
      </c>
      <c r="S538">
        <v>3.24</v>
      </c>
      <c r="T538">
        <v>14.5</v>
      </c>
      <c r="U538">
        <v>8</v>
      </c>
      <c r="V538">
        <v>1.28</v>
      </c>
      <c r="W538">
        <v>46.43</v>
      </c>
      <c r="X538" t="s">
        <v>32</v>
      </c>
      <c r="Y538" t="s">
        <v>33</v>
      </c>
    </row>
    <row r="539" spans="1:25" x14ac:dyDescent="0.3">
      <c r="A539">
        <v>538</v>
      </c>
      <c r="B539" t="s">
        <v>298</v>
      </c>
      <c r="C539" t="s">
        <v>116</v>
      </c>
      <c r="D539" t="s">
        <v>36</v>
      </c>
      <c r="E539" t="s">
        <v>28</v>
      </c>
      <c r="F539">
        <v>2</v>
      </c>
      <c r="G539">
        <v>220</v>
      </c>
      <c r="H539">
        <v>440</v>
      </c>
      <c r="I539">
        <v>100</v>
      </c>
      <c r="J539">
        <v>200</v>
      </c>
      <c r="K539">
        <v>240</v>
      </c>
      <c r="L539" t="s">
        <v>37</v>
      </c>
      <c r="M539" t="s">
        <v>30</v>
      </c>
      <c r="N539" t="s">
        <v>39</v>
      </c>
      <c r="O539">
        <v>27.28</v>
      </c>
      <c r="P539">
        <v>53.58</v>
      </c>
      <c r="Q539">
        <v>15.74</v>
      </c>
      <c r="R539">
        <v>33.71</v>
      </c>
      <c r="S539">
        <v>2.77</v>
      </c>
      <c r="T539">
        <v>9.86</v>
      </c>
      <c r="U539">
        <v>6.52</v>
      </c>
      <c r="V539">
        <v>1.74</v>
      </c>
      <c r="W539">
        <v>88.8</v>
      </c>
      <c r="X539" t="s">
        <v>32</v>
      </c>
      <c r="Y539" t="s">
        <v>40</v>
      </c>
    </row>
    <row r="540" spans="1:25" x14ac:dyDescent="0.3">
      <c r="A540">
        <v>539</v>
      </c>
      <c r="B540" t="s">
        <v>431</v>
      </c>
      <c r="C540" t="s">
        <v>80</v>
      </c>
      <c r="D540" t="s">
        <v>89</v>
      </c>
      <c r="E540" t="s">
        <v>28</v>
      </c>
      <c r="F540">
        <v>4</v>
      </c>
      <c r="G540">
        <v>180</v>
      </c>
      <c r="H540">
        <v>720</v>
      </c>
      <c r="I540">
        <v>75</v>
      </c>
      <c r="J540">
        <v>300</v>
      </c>
      <c r="K540">
        <v>420</v>
      </c>
      <c r="L540" t="s">
        <v>44</v>
      </c>
      <c r="M540" t="s">
        <v>38</v>
      </c>
      <c r="N540" t="s">
        <v>31</v>
      </c>
      <c r="O540">
        <v>23.82</v>
      </c>
      <c r="P540">
        <v>54.22</v>
      </c>
      <c r="Q540">
        <v>18.86</v>
      </c>
      <c r="R540">
        <v>10.36</v>
      </c>
      <c r="S540">
        <v>1.0900000000000001</v>
      </c>
      <c r="T540">
        <v>3.68</v>
      </c>
      <c r="U540">
        <v>2.64</v>
      </c>
      <c r="V540">
        <v>1.31</v>
      </c>
      <c r="W540">
        <v>304.02</v>
      </c>
      <c r="X540" t="s">
        <v>66</v>
      </c>
      <c r="Y540" t="s">
        <v>40</v>
      </c>
    </row>
    <row r="541" spans="1:25" x14ac:dyDescent="0.3">
      <c r="A541">
        <v>540</v>
      </c>
      <c r="B541" t="s">
        <v>52</v>
      </c>
      <c r="C541" t="s">
        <v>461</v>
      </c>
      <c r="D541" t="s">
        <v>89</v>
      </c>
      <c r="E541" t="s">
        <v>28</v>
      </c>
      <c r="F541">
        <v>2</v>
      </c>
      <c r="G541">
        <v>180</v>
      </c>
      <c r="H541">
        <v>360</v>
      </c>
      <c r="I541">
        <v>75</v>
      </c>
      <c r="J541">
        <v>150</v>
      </c>
      <c r="K541">
        <v>210</v>
      </c>
      <c r="L541" t="s">
        <v>55</v>
      </c>
      <c r="M541" t="s">
        <v>63</v>
      </c>
      <c r="N541" t="s">
        <v>51</v>
      </c>
      <c r="O541">
        <v>31.3</v>
      </c>
      <c r="P541">
        <v>51.8</v>
      </c>
      <c r="Q541">
        <v>13.22</v>
      </c>
      <c r="R541">
        <v>17.16</v>
      </c>
      <c r="S541">
        <v>3.25</v>
      </c>
      <c r="T541">
        <v>11.73</v>
      </c>
      <c r="U541">
        <v>4.1100000000000003</v>
      </c>
      <c r="V541">
        <v>1.72</v>
      </c>
      <c r="W541">
        <v>75.709999999999994</v>
      </c>
      <c r="X541" t="s">
        <v>57</v>
      </c>
      <c r="Y541" t="s">
        <v>33</v>
      </c>
    </row>
    <row r="542" spans="1:25" x14ac:dyDescent="0.3">
      <c r="A542">
        <v>541</v>
      </c>
      <c r="B542" t="s">
        <v>159</v>
      </c>
      <c r="C542" t="s">
        <v>503</v>
      </c>
      <c r="D542" t="s">
        <v>109</v>
      </c>
      <c r="E542" t="s">
        <v>50</v>
      </c>
      <c r="F542">
        <v>3</v>
      </c>
      <c r="G542">
        <v>150</v>
      </c>
      <c r="H542">
        <v>450</v>
      </c>
      <c r="I542">
        <v>70</v>
      </c>
      <c r="J542">
        <v>210</v>
      </c>
      <c r="K542">
        <v>240</v>
      </c>
      <c r="L542" t="s">
        <v>86</v>
      </c>
      <c r="M542" t="s">
        <v>56</v>
      </c>
      <c r="N542" t="s">
        <v>51</v>
      </c>
      <c r="O542">
        <v>34.950000000000003</v>
      </c>
      <c r="P542">
        <v>41.42</v>
      </c>
      <c r="Q542">
        <v>7.6</v>
      </c>
      <c r="R542">
        <v>20.03</v>
      </c>
      <c r="S542">
        <v>2.95</v>
      </c>
      <c r="T542">
        <v>10.54</v>
      </c>
      <c r="U542">
        <v>4.82</v>
      </c>
      <c r="V542">
        <v>1.52</v>
      </c>
      <c r="W542">
        <v>116.17</v>
      </c>
      <c r="X542" t="s">
        <v>66</v>
      </c>
      <c r="Y542" t="s">
        <v>33</v>
      </c>
    </row>
    <row r="543" spans="1:25" x14ac:dyDescent="0.3">
      <c r="A543">
        <v>542</v>
      </c>
      <c r="B543" t="s">
        <v>401</v>
      </c>
      <c r="C543" t="s">
        <v>397</v>
      </c>
      <c r="D543" t="s">
        <v>43</v>
      </c>
      <c r="E543" t="s">
        <v>43</v>
      </c>
      <c r="F543">
        <v>3</v>
      </c>
      <c r="G543">
        <v>80</v>
      </c>
      <c r="H543">
        <v>240</v>
      </c>
      <c r="I543">
        <v>30</v>
      </c>
      <c r="J543">
        <v>90</v>
      </c>
      <c r="K543">
        <v>150</v>
      </c>
      <c r="L543" t="s">
        <v>86</v>
      </c>
      <c r="M543" t="s">
        <v>45</v>
      </c>
      <c r="N543" t="s">
        <v>90</v>
      </c>
      <c r="O543">
        <v>11</v>
      </c>
      <c r="P543">
        <v>22.63</v>
      </c>
      <c r="Q543">
        <v>11.21</v>
      </c>
      <c r="R543">
        <v>16.399999999999999</v>
      </c>
      <c r="S543">
        <v>1.42</v>
      </c>
      <c r="T543">
        <v>11.23</v>
      </c>
      <c r="U543">
        <v>4.78</v>
      </c>
      <c r="V543">
        <v>0.59</v>
      </c>
      <c r="W543">
        <v>70.739999999999995</v>
      </c>
      <c r="X543" t="s">
        <v>32</v>
      </c>
      <c r="Y543" t="s">
        <v>33</v>
      </c>
    </row>
    <row r="544" spans="1:25" x14ac:dyDescent="0.3">
      <c r="A544">
        <v>543</v>
      </c>
      <c r="B544" t="s">
        <v>113</v>
      </c>
      <c r="C544" t="s">
        <v>163</v>
      </c>
      <c r="D544" t="s">
        <v>89</v>
      </c>
      <c r="E544" t="s">
        <v>28</v>
      </c>
      <c r="F544">
        <v>1</v>
      </c>
      <c r="G544">
        <v>180</v>
      </c>
      <c r="H544">
        <v>180</v>
      </c>
      <c r="I544">
        <v>75</v>
      </c>
      <c r="J544">
        <v>75</v>
      </c>
      <c r="K544">
        <v>105</v>
      </c>
      <c r="L544" t="s">
        <v>44</v>
      </c>
      <c r="M544" t="s">
        <v>56</v>
      </c>
      <c r="N544" t="s">
        <v>81</v>
      </c>
      <c r="O544">
        <v>30.8</v>
      </c>
      <c r="P544">
        <v>40.020000000000003</v>
      </c>
      <c r="Q544">
        <v>19.22</v>
      </c>
      <c r="R544">
        <v>13.75</v>
      </c>
      <c r="S544">
        <v>0.56999999999999995</v>
      </c>
      <c r="T544">
        <v>12.87</v>
      </c>
      <c r="U544">
        <v>7.92</v>
      </c>
      <c r="V544">
        <v>0.94</v>
      </c>
      <c r="W544">
        <v>-21.09</v>
      </c>
      <c r="X544" t="s">
        <v>57</v>
      </c>
      <c r="Y544" t="s">
        <v>33</v>
      </c>
    </row>
    <row r="545" spans="1:25" x14ac:dyDescent="0.3">
      <c r="A545">
        <v>544</v>
      </c>
      <c r="B545" t="s">
        <v>188</v>
      </c>
      <c r="C545" t="s">
        <v>347</v>
      </c>
      <c r="D545" t="s">
        <v>43</v>
      </c>
      <c r="E545" t="s">
        <v>43</v>
      </c>
      <c r="F545">
        <v>4</v>
      </c>
      <c r="G545">
        <v>80</v>
      </c>
      <c r="H545">
        <v>320</v>
      </c>
      <c r="I545">
        <v>30</v>
      </c>
      <c r="J545">
        <v>120</v>
      </c>
      <c r="K545">
        <v>200</v>
      </c>
      <c r="L545" t="s">
        <v>29</v>
      </c>
      <c r="M545" t="s">
        <v>63</v>
      </c>
      <c r="N545" t="s">
        <v>46</v>
      </c>
      <c r="O545">
        <v>35.86</v>
      </c>
      <c r="P545">
        <v>26.03</v>
      </c>
      <c r="Q545">
        <v>19.010000000000002</v>
      </c>
      <c r="R545">
        <v>0.46</v>
      </c>
      <c r="S545">
        <v>2.09</v>
      </c>
      <c r="T545">
        <v>2.66</v>
      </c>
      <c r="U545">
        <v>1.21</v>
      </c>
      <c r="V545">
        <v>1.39</v>
      </c>
      <c r="W545">
        <v>111.29</v>
      </c>
      <c r="X545" t="s">
        <v>57</v>
      </c>
      <c r="Y545" t="s">
        <v>33</v>
      </c>
    </row>
    <row r="546" spans="1:25" x14ac:dyDescent="0.3">
      <c r="A546">
        <v>545</v>
      </c>
      <c r="B546" t="s">
        <v>440</v>
      </c>
      <c r="C546" t="s">
        <v>100</v>
      </c>
      <c r="D546" t="s">
        <v>36</v>
      </c>
      <c r="E546" t="s">
        <v>28</v>
      </c>
      <c r="F546">
        <v>1</v>
      </c>
      <c r="G546">
        <v>220</v>
      </c>
      <c r="H546">
        <v>220</v>
      </c>
      <c r="I546">
        <v>100</v>
      </c>
      <c r="J546">
        <v>100</v>
      </c>
      <c r="K546">
        <v>120</v>
      </c>
      <c r="L546" t="s">
        <v>29</v>
      </c>
      <c r="M546" t="s">
        <v>63</v>
      </c>
      <c r="N546" t="s">
        <v>46</v>
      </c>
      <c r="O546">
        <v>37.090000000000003</v>
      </c>
      <c r="P546">
        <v>56.6</v>
      </c>
      <c r="Q546">
        <v>10.15</v>
      </c>
      <c r="R546">
        <v>2.21</v>
      </c>
      <c r="S546">
        <v>0.48</v>
      </c>
      <c r="T546">
        <v>9.9700000000000006</v>
      </c>
      <c r="U546">
        <v>2.91</v>
      </c>
      <c r="V546">
        <v>0.81</v>
      </c>
      <c r="W546">
        <v>-0.22</v>
      </c>
      <c r="X546" t="s">
        <v>66</v>
      </c>
      <c r="Y546" t="s">
        <v>33</v>
      </c>
    </row>
    <row r="547" spans="1:25" x14ac:dyDescent="0.3">
      <c r="A547">
        <v>546</v>
      </c>
      <c r="B547" t="s">
        <v>229</v>
      </c>
      <c r="C547" t="s">
        <v>324</v>
      </c>
      <c r="D547" t="s">
        <v>43</v>
      </c>
      <c r="E547" t="s">
        <v>43</v>
      </c>
      <c r="F547">
        <v>4</v>
      </c>
      <c r="G547">
        <v>80</v>
      </c>
      <c r="H547">
        <v>320</v>
      </c>
      <c r="I547">
        <v>30</v>
      </c>
      <c r="J547">
        <v>120</v>
      </c>
      <c r="K547">
        <v>200</v>
      </c>
      <c r="L547" t="s">
        <v>44</v>
      </c>
      <c r="M547" t="s">
        <v>38</v>
      </c>
      <c r="N547" t="s">
        <v>46</v>
      </c>
      <c r="O547">
        <v>32.700000000000003</v>
      </c>
      <c r="P547">
        <v>32.020000000000003</v>
      </c>
      <c r="Q547">
        <v>18.989999999999998</v>
      </c>
      <c r="R547">
        <v>14.66</v>
      </c>
      <c r="S547">
        <v>2.8</v>
      </c>
      <c r="T547">
        <v>2.33</v>
      </c>
      <c r="U547">
        <v>4.91</v>
      </c>
      <c r="V547">
        <v>1.61</v>
      </c>
      <c r="W547">
        <v>89.98</v>
      </c>
      <c r="X547" t="s">
        <v>57</v>
      </c>
      <c r="Y547" t="s">
        <v>33</v>
      </c>
    </row>
    <row r="548" spans="1:25" x14ac:dyDescent="0.3">
      <c r="A548">
        <v>547</v>
      </c>
      <c r="B548" t="s">
        <v>201</v>
      </c>
      <c r="C548" t="s">
        <v>449</v>
      </c>
      <c r="D548" t="s">
        <v>43</v>
      </c>
      <c r="E548" t="s">
        <v>43</v>
      </c>
      <c r="F548">
        <v>1</v>
      </c>
      <c r="G548">
        <v>80</v>
      </c>
      <c r="H548">
        <v>80</v>
      </c>
      <c r="I548">
        <v>30</v>
      </c>
      <c r="J548">
        <v>30</v>
      </c>
      <c r="K548">
        <v>50</v>
      </c>
      <c r="L548" t="s">
        <v>37</v>
      </c>
      <c r="M548" t="s">
        <v>38</v>
      </c>
      <c r="N548" t="s">
        <v>39</v>
      </c>
      <c r="O548">
        <v>13.99</v>
      </c>
      <c r="P548">
        <v>20.3</v>
      </c>
      <c r="Q548">
        <v>11.5</v>
      </c>
      <c r="R548">
        <v>18.34</v>
      </c>
      <c r="S548">
        <v>1.67</v>
      </c>
      <c r="T548">
        <v>10.029999999999999</v>
      </c>
      <c r="U548">
        <v>3.47</v>
      </c>
      <c r="V548">
        <v>1.71</v>
      </c>
      <c r="W548">
        <v>-31.01</v>
      </c>
      <c r="X548" t="s">
        <v>57</v>
      </c>
      <c r="Y548" t="s">
        <v>40</v>
      </c>
    </row>
    <row r="549" spans="1:25" x14ac:dyDescent="0.3">
      <c r="A549">
        <v>548</v>
      </c>
      <c r="B549" t="s">
        <v>154</v>
      </c>
      <c r="C549" t="s">
        <v>375</v>
      </c>
      <c r="D549" t="s">
        <v>27</v>
      </c>
      <c r="E549" t="s">
        <v>28</v>
      </c>
      <c r="F549">
        <v>2</v>
      </c>
      <c r="G549">
        <v>200</v>
      </c>
      <c r="H549">
        <v>400</v>
      </c>
      <c r="I549">
        <v>90</v>
      </c>
      <c r="J549">
        <v>180</v>
      </c>
      <c r="K549">
        <v>220</v>
      </c>
      <c r="L549" t="s">
        <v>55</v>
      </c>
      <c r="M549" t="s">
        <v>45</v>
      </c>
      <c r="N549" t="s">
        <v>46</v>
      </c>
      <c r="O549">
        <v>10.199999999999999</v>
      </c>
      <c r="P549">
        <v>31.5</v>
      </c>
      <c r="Q549">
        <v>10.74</v>
      </c>
      <c r="R549">
        <v>12.07</v>
      </c>
      <c r="S549">
        <v>0.26</v>
      </c>
      <c r="T549">
        <v>13.32</v>
      </c>
      <c r="U549">
        <v>1.78</v>
      </c>
      <c r="V549">
        <v>2.2799999999999998</v>
      </c>
      <c r="W549">
        <v>137.85</v>
      </c>
      <c r="X549" t="s">
        <v>66</v>
      </c>
      <c r="Y549" t="s">
        <v>40</v>
      </c>
    </row>
    <row r="550" spans="1:25" x14ac:dyDescent="0.3">
      <c r="A550">
        <v>549</v>
      </c>
      <c r="B550" t="s">
        <v>64</v>
      </c>
      <c r="C550" t="s">
        <v>257</v>
      </c>
      <c r="D550" t="s">
        <v>54</v>
      </c>
      <c r="E550" t="s">
        <v>28</v>
      </c>
      <c r="F550">
        <v>2</v>
      </c>
      <c r="G550">
        <v>120</v>
      </c>
      <c r="H550">
        <v>240</v>
      </c>
      <c r="I550">
        <v>50</v>
      </c>
      <c r="J550">
        <v>100</v>
      </c>
      <c r="K550">
        <v>140</v>
      </c>
      <c r="L550" t="s">
        <v>55</v>
      </c>
      <c r="M550" t="s">
        <v>38</v>
      </c>
      <c r="N550" t="s">
        <v>31</v>
      </c>
      <c r="O550">
        <v>11.12</v>
      </c>
      <c r="P550">
        <v>23.12</v>
      </c>
      <c r="Q550">
        <v>6.45</v>
      </c>
      <c r="R550">
        <v>16.09</v>
      </c>
      <c r="S550">
        <v>1.82</v>
      </c>
      <c r="T550">
        <v>10.95</v>
      </c>
      <c r="U550">
        <v>1.61</v>
      </c>
      <c r="V550">
        <v>1.95</v>
      </c>
      <c r="W550">
        <v>66.89</v>
      </c>
      <c r="X550" t="s">
        <v>32</v>
      </c>
      <c r="Y550" t="s">
        <v>40</v>
      </c>
    </row>
    <row r="551" spans="1:25" x14ac:dyDescent="0.3">
      <c r="A551">
        <v>550</v>
      </c>
      <c r="B551" t="s">
        <v>452</v>
      </c>
      <c r="C551" t="s">
        <v>74</v>
      </c>
      <c r="D551" t="s">
        <v>36</v>
      </c>
      <c r="E551" t="s">
        <v>28</v>
      </c>
      <c r="F551">
        <v>1</v>
      </c>
      <c r="G551">
        <v>220</v>
      </c>
      <c r="H551">
        <v>220</v>
      </c>
      <c r="I551">
        <v>100</v>
      </c>
      <c r="J551">
        <v>100</v>
      </c>
      <c r="K551">
        <v>120</v>
      </c>
      <c r="L551" t="s">
        <v>86</v>
      </c>
      <c r="M551" t="s">
        <v>56</v>
      </c>
      <c r="N551" t="s">
        <v>90</v>
      </c>
      <c r="O551">
        <v>12.36</v>
      </c>
      <c r="P551">
        <v>33.43</v>
      </c>
      <c r="Q551">
        <v>18.989999999999998</v>
      </c>
      <c r="R551">
        <v>2.3199999999999998</v>
      </c>
      <c r="S551">
        <v>0.04</v>
      </c>
      <c r="T551">
        <v>3.28</v>
      </c>
      <c r="U551">
        <v>6.43</v>
      </c>
      <c r="V551">
        <v>2.4700000000000002</v>
      </c>
      <c r="W551">
        <v>40.68</v>
      </c>
      <c r="X551" t="s">
        <v>66</v>
      </c>
      <c r="Y551" t="s">
        <v>40</v>
      </c>
    </row>
    <row r="552" spans="1:25" x14ac:dyDescent="0.3">
      <c r="A552">
        <v>551</v>
      </c>
      <c r="B552" t="s">
        <v>137</v>
      </c>
      <c r="C552" t="s">
        <v>189</v>
      </c>
      <c r="D552" t="s">
        <v>89</v>
      </c>
      <c r="E552" t="s">
        <v>28</v>
      </c>
      <c r="F552">
        <v>3</v>
      </c>
      <c r="G552">
        <v>180</v>
      </c>
      <c r="H552">
        <v>540</v>
      </c>
      <c r="I552">
        <v>75</v>
      </c>
      <c r="J552">
        <v>225</v>
      </c>
      <c r="K552">
        <v>315</v>
      </c>
      <c r="L552" t="s">
        <v>55</v>
      </c>
      <c r="M552" t="s">
        <v>63</v>
      </c>
      <c r="N552" t="s">
        <v>39</v>
      </c>
      <c r="O552">
        <v>31.67</v>
      </c>
      <c r="P552">
        <v>22.19</v>
      </c>
      <c r="Q552">
        <v>7.67</v>
      </c>
      <c r="R552">
        <v>20.18</v>
      </c>
      <c r="S552">
        <v>4.71</v>
      </c>
      <c r="T552">
        <v>10.46</v>
      </c>
      <c r="U552">
        <v>6.34</v>
      </c>
      <c r="V552">
        <v>0.67</v>
      </c>
      <c r="W552">
        <v>211.11</v>
      </c>
      <c r="X552" t="s">
        <v>32</v>
      </c>
      <c r="Y552" t="s">
        <v>40</v>
      </c>
    </row>
    <row r="553" spans="1:25" x14ac:dyDescent="0.3">
      <c r="A553">
        <v>552</v>
      </c>
      <c r="B553" t="s">
        <v>320</v>
      </c>
      <c r="C553" t="s">
        <v>504</v>
      </c>
      <c r="D553" t="s">
        <v>54</v>
      </c>
      <c r="E553" t="s">
        <v>28</v>
      </c>
      <c r="F553">
        <v>2</v>
      </c>
      <c r="G553">
        <v>120</v>
      </c>
      <c r="H553">
        <v>240</v>
      </c>
      <c r="I553">
        <v>50</v>
      </c>
      <c r="J553">
        <v>100</v>
      </c>
      <c r="K553">
        <v>140</v>
      </c>
      <c r="L553" t="s">
        <v>86</v>
      </c>
      <c r="M553" t="s">
        <v>45</v>
      </c>
      <c r="N553" t="s">
        <v>31</v>
      </c>
      <c r="O553">
        <v>39.01</v>
      </c>
      <c r="P553">
        <v>37.299999999999997</v>
      </c>
      <c r="Q553">
        <v>5.92</v>
      </c>
      <c r="R553">
        <v>23.11</v>
      </c>
      <c r="S553">
        <v>1.07</v>
      </c>
      <c r="T553">
        <v>12.01</v>
      </c>
      <c r="U553">
        <v>7.32</v>
      </c>
      <c r="V553">
        <v>2.82</v>
      </c>
      <c r="W553">
        <v>11.44</v>
      </c>
      <c r="X553" t="s">
        <v>32</v>
      </c>
      <c r="Y553" t="s">
        <v>40</v>
      </c>
    </row>
    <row r="554" spans="1:25" x14ac:dyDescent="0.3">
      <c r="A554">
        <v>553</v>
      </c>
      <c r="B554" t="s">
        <v>502</v>
      </c>
      <c r="C554" t="s">
        <v>70</v>
      </c>
      <c r="D554" t="s">
        <v>54</v>
      </c>
      <c r="E554" t="s">
        <v>28</v>
      </c>
      <c r="F554">
        <v>1</v>
      </c>
      <c r="G554">
        <v>120</v>
      </c>
      <c r="H554">
        <v>120</v>
      </c>
      <c r="I554">
        <v>50</v>
      </c>
      <c r="J554">
        <v>50</v>
      </c>
      <c r="K554">
        <v>70</v>
      </c>
      <c r="L554" t="s">
        <v>37</v>
      </c>
      <c r="M554" t="s">
        <v>56</v>
      </c>
      <c r="N554" t="s">
        <v>39</v>
      </c>
      <c r="O554">
        <v>39.5</v>
      </c>
      <c r="P554">
        <v>24.24</v>
      </c>
      <c r="Q554">
        <v>9.3800000000000008</v>
      </c>
      <c r="R554">
        <v>0.05</v>
      </c>
      <c r="S554">
        <v>3.71</v>
      </c>
      <c r="T554">
        <v>6.3</v>
      </c>
      <c r="U554">
        <v>4.4800000000000004</v>
      </c>
      <c r="V554">
        <v>1.41</v>
      </c>
      <c r="W554">
        <v>-19.07</v>
      </c>
      <c r="X554" t="s">
        <v>32</v>
      </c>
      <c r="Y554" t="s">
        <v>33</v>
      </c>
    </row>
    <row r="555" spans="1:25" x14ac:dyDescent="0.3">
      <c r="A555">
        <v>554</v>
      </c>
      <c r="B555" t="s">
        <v>117</v>
      </c>
      <c r="C555" t="s">
        <v>308</v>
      </c>
      <c r="D555" t="s">
        <v>89</v>
      </c>
      <c r="E555" t="s">
        <v>28</v>
      </c>
      <c r="F555">
        <v>2</v>
      </c>
      <c r="G555">
        <v>180</v>
      </c>
      <c r="H555">
        <v>360</v>
      </c>
      <c r="I555">
        <v>75</v>
      </c>
      <c r="J555">
        <v>150</v>
      </c>
      <c r="K555">
        <v>210</v>
      </c>
      <c r="L555" t="s">
        <v>55</v>
      </c>
      <c r="M555" t="s">
        <v>45</v>
      </c>
      <c r="N555" t="s">
        <v>39</v>
      </c>
      <c r="O555">
        <v>32.79</v>
      </c>
      <c r="P555">
        <v>35.71</v>
      </c>
      <c r="Q555">
        <v>12.78</v>
      </c>
      <c r="R555">
        <v>1.32</v>
      </c>
      <c r="S555">
        <v>1.4</v>
      </c>
      <c r="T555">
        <v>2.69</v>
      </c>
      <c r="U555">
        <v>5.83</v>
      </c>
      <c r="V555">
        <v>1.99</v>
      </c>
      <c r="W555">
        <v>115.49</v>
      </c>
      <c r="X555" t="s">
        <v>57</v>
      </c>
      <c r="Y555" t="s">
        <v>40</v>
      </c>
    </row>
    <row r="556" spans="1:25" x14ac:dyDescent="0.3">
      <c r="A556">
        <v>555</v>
      </c>
      <c r="B556" t="s">
        <v>174</v>
      </c>
      <c r="C556" t="s">
        <v>210</v>
      </c>
      <c r="D556" t="s">
        <v>54</v>
      </c>
      <c r="E556" t="s">
        <v>28</v>
      </c>
      <c r="F556">
        <v>1</v>
      </c>
      <c r="G556">
        <v>120</v>
      </c>
      <c r="H556">
        <v>120</v>
      </c>
      <c r="I556">
        <v>50</v>
      </c>
      <c r="J556">
        <v>50</v>
      </c>
      <c r="K556">
        <v>70</v>
      </c>
      <c r="L556" t="s">
        <v>37</v>
      </c>
      <c r="M556" t="s">
        <v>56</v>
      </c>
      <c r="N556" t="s">
        <v>90</v>
      </c>
      <c r="O556">
        <v>14.85</v>
      </c>
      <c r="P556">
        <v>54.06</v>
      </c>
      <c r="Q556">
        <v>14.95</v>
      </c>
      <c r="R556">
        <v>20.66</v>
      </c>
      <c r="S556">
        <v>2.2000000000000002</v>
      </c>
      <c r="T556">
        <v>2.75</v>
      </c>
      <c r="U556">
        <v>4.66</v>
      </c>
      <c r="V556">
        <v>0.06</v>
      </c>
      <c r="W556">
        <v>-44.19</v>
      </c>
      <c r="X556" t="s">
        <v>32</v>
      </c>
      <c r="Y556" t="s">
        <v>33</v>
      </c>
    </row>
    <row r="557" spans="1:25" x14ac:dyDescent="0.3">
      <c r="A557">
        <v>556</v>
      </c>
      <c r="B557" t="s">
        <v>198</v>
      </c>
      <c r="C557" t="s">
        <v>423</v>
      </c>
      <c r="D557" t="s">
        <v>62</v>
      </c>
      <c r="E557" t="s">
        <v>28</v>
      </c>
      <c r="F557">
        <v>3</v>
      </c>
      <c r="G557">
        <v>250</v>
      </c>
      <c r="H557">
        <v>750</v>
      </c>
      <c r="I557">
        <v>110</v>
      </c>
      <c r="J557">
        <v>330</v>
      </c>
      <c r="K557">
        <v>420</v>
      </c>
      <c r="L557" t="s">
        <v>55</v>
      </c>
      <c r="M557" t="s">
        <v>45</v>
      </c>
      <c r="N557" t="s">
        <v>51</v>
      </c>
      <c r="O557">
        <v>11.23</v>
      </c>
      <c r="P557">
        <v>20.28</v>
      </c>
      <c r="Q557">
        <v>19.690000000000001</v>
      </c>
      <c r="R557">
        <v>2.62</v>
      </c>
      <c r="S557">
        <v>4.54</v>
      </c>
      <c r="T557">
        <v>7.81</v>
      </c>
      <c r="U557">
        <v>7.68</v>
      </c>
      <c r="V557">
        <v>2.23</v>
      </c>
      <c r="W557">
        <v>343.92</v>
      </c>
      <c r="X557" t="s">
        <v>32</v>
      </c>
      <c r="Y557" t="s">
        <v>33</v>
      </c>
    </row>
    <row r="558" spans="1:25" x14ac:dyDescent="0.3">
      <c r="A558">
        <v>557</v>
      </c>
      <c r="B558" t="s">
        <v>401</v>
      </c>
      <c r="C558" t="s">
        <v>449</v>
      </c>
      <c r="D558" t="s">
        <v>27</v>
      </c>
      <c r="E558" t="s">
        <v>28</v>
      </c>
      <c r="F558">
        <v>4</v>
      </c>
      <c r="G558">
        <v>200</v>
      </c>
      <c r="H558">
        <v>800</v>
      </c>
      <c r="I558">
        <v>90</v>
      </c>
      <c r="J558">
        <v>360</v>
      </c>
      <c r="K558">
        <v>440</v>
      </c>
      <c r="L558" t="s">
        <v>86</v>
      </c>
      <c r="M558" t="s">
        <v>56</v>
      </c>
      <c r="N558" t="s">
        <v>46</v>
      </c>
      <c r="O558">
        <v>34.11</v>
      </c>
      <c r="P558">
        <v>21.22</v>
      </c>
      <c r="Q558">
        <v>15.67</v>
      </c>
      <c r="R558">
        <v>15.08</v>
      </c>
      <c r="S558">
        <v>1.56</v>
      </c>
      <c r="T558">
        <v>6.99</v>
      </c>
      <c r="U558">
        <v>1.04</v>
      </c>
      <c r="V558">
        <v>2.2200000000000002</v>
      </c>
      <c r="W558">
        <v>342.11</v>
      </c>
      <c r="X558" t="s">
        <v>57</v>
      </c>
      <c r="Y558" t="s">
        <v>40</v>
      </c>
    </row>
    <row r="559" spans="1:25" x14ac:dyDescent="0.3">
      <c r="A559">
        <v>558</v>
      </c>
      <c r="B559" t="s">
        <v>113</v>
      </c>
      <c r="C559" t="s">
        <v>150</v>
      </c>
      <c r="D559" t="s">
        <v>36</v>
      </c>
      <c r="E559" t="s">
        <v>28</v>
      </c>
      <c r="F559">
        <v>2</v>
      </c>
      <c r="G559">
        <v>220</v>
      </c>
      <c r="H559">
        <v>440</v>
      </c>
      <c r="I559">
        <v>100</v>
      </c>
      <c r="J559">
        <v>200</v>
      </c>
      <c r="K559">
        <v>240</v>
      </c>
      <c r="L559" t="s">
        <v>29</v>
      </c>
      <c r="M559" t="s">
        <v>38</v>
      </c>
      <c r="N559" t="s">
        <v>90</v>
      </c>
      <c r="O559">
        <v>17.63</v>
      </c>
      <c r="P559">
        <v>22.27</v>
      </c>
      <c r="Q559">
        <v>13.54</v>
      </c>
      <c r="R559">
        <v>32.68</v>
      </c>
      <c r="S559">
        <v>5</v>
      </c>
      <c r="T559">
        <v>11.67</v>
      </c>
      <c r="U559">
        <v>5.94</v>
      </c>
      <c r="V559">
        <v>1.74</v>
      </c>
      <c r="W559">
        <v>129.53</v>
      </c>
      <c r="X559" t="s">
        <v>32</v>
      </c>
      <c r="Y559" t="s">
        <v>33</v>
      </c>
    </row>
    <row r="560" spans="1:25" x14ac:dyDescent="0.3">
      <c r="A560">
        <v>559</v>
      </c>
      <c r="B560" t="s">
        <v>25</v>
      </c>
      <c r="C560" t="s">
        <v>212</v>
      </c>
      <c r="D560" t="s">
        <v>27</v>
      </c>
      <c r="E560" t="s">
        <v>28</v>
      </c>
      <c r="F560">
        <v>4</v>
      </c>
      <c r="G560">
        <v>200</v>
      </c>
      <c r="H560">
        <v>800</v>
      </c>
      <c r="I560">
        <v>90</v>
      </c>
      <c r="J560">
        <v>360</v>
      </c>
      <c r="K560">
        <v>440</v>
      </c>
      <c r="L560" t="s">
        <v>86</v>
      </c>
      <c r="M560" t="s">
        <v>63</v>
      </c>
      <c r="N560" t="s">
        <v>31</v>
      </c>
      <c r="O560">
        <v>18.399999999999999</v>
      </c>
      <c r="P560">
        <v>15.69</v>
      </c>
      <c r="Q560">
        <v>7.43</v>
      </c>
      <c r="R560">
        <v>33.78</v>
      </c>
      <c r="S560">
        <v>2.56</v>
      </c>
      <c r="T560">
        <v>6.14</v>
      </c>
      <c r="U560">
        <v>2.9</v>
      </c>
      <c r="V560">
        <v>1.33</v>
      </c>
      <c r="W560">
        <v>351.77</v>
      </c>
      <c r="X560" t="s">
        <v>32</v>
      </c>
      <c r="Y560" t="s">
        <v>40</v>
      </c>
    </row>
    <row r="561" spans="1:25" x14ac:dyDescent="0.3">
      <c r="A561">
        <v>560</v>
      </c>
      <c r="B561" t="s">
        <v>291</v>
      </c>
      <c r="C561" t="s">
        <v>378</v>
      </c>
      <c r="D561" t="s">
        <v>36</v>
      </c>
      <c r="E561" t="s">
        <v>28</v>
      </c>
      <c r="F561">
        <v>2</v>
      </c>
      <c r="G561">
        <v>220</v>
      </c>
      <c r="H561">
        <v>440</v>
      </c>
      <c r="I561">
        <v>100</v>
      </c>
      <c r="J561">
        <v>200</v>
      </c>
      <c r="K561">
        <v>240</v>
      </c>
      <c r="L561" t="s">
        <v>29</v>
      </c>
      <c r="M561" t="s">
        <v>45</v>
      </c>
      <c r="N561" t="s">
        <v>51</v>
      </c>
      <c r="O561">
        <v>23.59</v>
      </c>
      <c r="P561">
        <v>18.059999999999999</v>
      </c>
      <c r="Q561">
        <v>14.8</v>
      </c>
      <c r="R561">
        <v>4.33</v>
      </c>
      <c r="S561">
        <v>0.72</v>
      </c>
      <c r="T561">
        <v>7.67</v>
      </c>
      <c r="U561">
        <v>6.64</v>
      </c>
      <c r="V561">
        <v>0.17</v>
      </c>
      <c r="W561">
        <v>164.02</v>
      </c>
      <c r="X561" t="s">
        <v>57</v>
      </c>
      <c r="Y561" t="s">
        <v>33</v>
      </c>
    </row>
    <row r="562" spans="1:25" x14ac:dyDescent="0.3">
      <c r="A562">
        <v>561</v>
      </c>
      <c r="B562" t="s">
        <v>95</v>
      </c>
      <c r="C562" t="s">
        <v>374</v>
      </c>
      <c r="D562" t="s">
        <v>43</v>
      </c>
      <c r="E562" t="s">
        <v>43</v>
      </c>
      <c r="F562">
        <v>3</v>
      </c>
      <c r="G562">
        <v>80</v>
      </c>
      <c r="H562">
        <v>240</v>
      </c>
      <c r="I562">
        <v>30</v>
      </c>
      <c r="J562">
        <v>90</v>
      </c>
      <c r="K562">
        <v>150</v>
      </c>
      <c r="L562" t="s">
        <v>86</v>
      </c>
      <c r="M562" t="s">
        <v>45</v>
      </c>
      <c r="N562" t="s">
        <v>39</v>
      </c>
      <c r="O562">
        <v>16.07</v>
      </c>
      <c r="P562">
        <v>25.42</v>
      </c>
      <c r="Q562">
        <v>19.489999999999998</v>
      </c>
      <c r="R562">
        <v>4.18</v>
      </c>
      <c r="S562">
        <v>4.16</v>
      </c>
      <c r="T562">
        <v>11.26</v>
      </c>
      <c r="U562">
        <v>2.04</v>
      </c>
      <c r="V562">
        <v>0.18</v>
      </c>
      <c r="W562">
        <v>67.2</v>
      </c>
      <c r="X562" t="s">
        <v>32</v>
      </c>
      <c r="Y562" t="s">
        <v>33</v>
      </c>
    </row>
    <row r="563" spans="1:25" x14ac:dyDescent="0.3">
      <c r="A563">
        <v>562</v>
      </c>
      <c r="B563" t="s">
        <v>342</v>
      </c>
      <c r="C563" t="s">
        <v>505</v>
      </c>
      <c r="D563" t="s">
        <v>62</v>
      </c>
      <c r="E563" t="s">
        <v>28</v>
      </c>
      <c r="F563">
        <v>4</v>
      </c>
      <c r="G563">
        <v>250</v>
      </c>
      <c r="H563">
        <v>1000</v>
      </c>
      <c r="I563">
        <v>110</v>
      </c>
      <c r="J563">
        <v>440</v>
      </c>
      <c r="K563">
        <v>560</v>
      </c>
      <c r="L563" t="s">
        <v>55</v>
      </c>
      <c r="M563" t="s">
        <v>38</v>
      </c>
      <c r="N563" t="s">
        <v>46</v>
      </c>
      <c r="O563">
        <v>16.809999999999999</v>
      </c>
      <c r="P563">
        <v>28.03</v>
      </c>
      <c r="Q563">
        <v>13.86</v>
      </c>
      <c r="R563">
        <v>0.34</v>
      </c>
      <c r="S563">
        <v>0.81</v>
      </c>
      <c r="T563">
        <v>10.6</v>
      </c>
      <c r="U563">
        <v>2.56</v>
      </c>
      <c r="V563">
        <v>1.66</v>
      </c>
      <c r="W563">
        <v>485.33</v>
      </c>
      <c r="X563" t="s">
        <v>57</v>
      </c>
      <c r="Y563" t="s">
        <v>33</v>
      </c>
    </row>
    <row r="564" spans="1:25" x14ac:dyDescent="0.3">
      <c r="A564">
        <v>563</v>
      </c>
      <c r="B564" t="s">
        <v>502</v>
      </c>
      <c r="C564" t="s">
        <v>506</v>
      </c>
      <c r="D564" t="s">
        <v>43</v>
      </c>
      <c r="E564" t="s">
        <v>43</v>
      </c>
      <c r="F564">
        <v>1</v>
      </c>
      <c r="G564">
        <v>80</v>
      </c>
      <c r="H564">
        <v>80</v>
      </c>
      <c r="I564">
        <v>30</v>
      </c>
      <c r="J564">
        <v>30</v>
      </c>
      <c r="K564">
        <v>50</v>
      </c>
      <c r="L564" t="s">
        <v>86</v>
      </c>
      <c r="M564" t="s">
        <v>38</v>
      </c>
      <c r="N564" t="s">
        <v>46</v>
      </c>
      <c r="O564">
        <v>31.28</v>
      </c>
      <c r="P564">
        <v>26.29</v>
      </c>
      <c r="Q564">
        <v>13.71</v>
      </c>
      <c r="R564">
        <v>27.78</v>
      </c>
      <c r="S564">
        <v>1.62</v>
      </c>
      <c r="T564">
        <v>14.81</v>
      </c>
      <c r="U564">
        <v>6.55</v>
      </c>
      <c r="V564">
        <v>0.85</v>
      </c>
      <c r="W564">
        <v>-72.89</v>
      </c>
      <c r="X564" t="s">
        <v>32</v>
      </c>
      <c r="Y564" t="s">
        <v>33</v>
      </c>
    </row>
    <row r="565" spans="1:25" x14ac:dyDescent="0.3">
      <c r="A565">
        <v>564</v>
      </c>
      <c r="B565" t="s">
        <v>245</v>
      </c>
      <c r="C565" t="s">
        <v>226</v>
      </c>
      <c r="D565" t="s">
        <v>27</v>
      </c>
      <c r="E565" t="s">
        <v>28</v>
      </c>
      <c r="F565">
        <v>3</v>
      </c>
      <c r="G565">
        <v>200</v>
      </c>
      <c r="H565">
        <v>600</v>
      </c>
      <c r="I565">
        <v>90</v>
      </c>
      <c r="J565">
        <v>270</v>
      </c>
      <c r="K565">
        <v>330</v>
      </c>
      <c r="L565" t="s">
        <v>55</v>
      </c>
      <c r="M565" t="s">
        <v>45</v>
      </c>
      <c r="N565" t="s">
        <v>90</v>
      </c>
      <c r="O565">
        <v>26.53</v>
      </c>
      <c r="P565">
        <v>46.27</v>
      </c>
      <c r="Q565">
        <v>16.12</v>
      </c>
      <c r="R565">
        <v>8.73</v>
      </c>
      <c r="S565">
        <v>0.22</v>
      </c>
      <c r="T565">
        <v>14.27</v>
      </c>
      <c r="U565">
        <v>5.71</v>
      </c>
      <c r="V565">
        <v>2.16</v>
      </c>
      <c r="W565">
        <v>209.99</v>
      </c>
      <c r="X565" t="s">
        <v>32</v>
      </c>
      <c r="Y565" t="s">
        <v>40</v>
      </c>
    </row>
    <row r="566" spans="1:25" x14ac:dyDescent="0.3">
      <c r="A566">
        <v>565</v>
      </c>
      <c r="B566" t="s">
        <v>219</v>
      </c>
      <c r="C566" t="s">
        <v>252</v>
      </c>
      <c r="D566" t="s">
        <v>27</v>
      </c>
      <c r="E566" t="s">
        <v>28</v>
      </c>
      <c r="F566">
        <v>1</v>
      </c>
      <c r="G566">
        <v>200</v>
      </c>
      <c r="H566">
        <v>200</v>
      </c>
      <c r="I566">
        <v>90</v>
      </c>
      <c r="J566">
        <v>90</v>
      </c>
      <c r="K566">
        <v>110</v>
      </c>
      <c r="L566" t="s">
        <v>55</v>
      </c>
      <c r="M566" t="s">
        <v>38</v>
      </c>
      <c r="N566" t="s">
        <v>46</v>
      </c>
      <c r="O566">
        <v>31.24</v>
      </c>
      <c r="P566">
        <v>28.07</v>
      </c>
      <c r="Q566">
        <v>11.2</v>
      </c>
      <c r="R566">
        <v>25.39</v>
      </c>
      <c r="S566">
        <v>4.25</v>
      </c>
      <c r="T566">
        <v>6.69</v>
      </c>
      <c r="U566">
        <v>2.81</v>
      </c>
      <c r="V566">
        <v>1.1399999999999999</v>
      </c>
      <c r="W566">
        <v>-0.79</v>
      </c>
      <c r="X566" t="s">
        <v>66</v>
      </c>
      <c r="Y566" t="s">
        <v>40</v>
      </c>
    </row>
    <row r="567" spans="1:25" x14ac:dyDescent="0.3">
      <c r="A567">
        <v>566</v>
      </c>
      <c r="B567" t="s">
        <v>507</v>
      </c>
      <c r="C567" t="s">
        <v>260</v>
      </c>
      <c r="D567" t="s">
        <v>89</v>
      </c>
      <c r="E567" t="s">
        <v>28</v>
      </c>
      <c r="F567">
        <v>3</v>
      </c>
      <c r="G567">
        <v>180</v>
      </c>
      <c r="H567">
        <v>540</v>
      </c>
      <c r="I567">
        <v>75</v>
      </c>
      <c r="J567">
        <v>225</v>
      </c>
      <c r="K567">
        <v>315</v>
      </c>
      <c r="L567" t="s">
        <v>29</v>
      </c>
      <c r="M567" t="s">
        <v>45</v>
      </c>
      <c r="N567" t="s">
        <v>90</v>
      </c>
      <c r="O567">
        <v>11.96</v>
      </c>
      <c r="P567">
        <v>52.59</v>
      </c>
      <c r="Q567">
        <v>10.11</v>
      </c>
      <c r="R567">
        <v>16.57</v>
      </c>
      <c r="S567">
        <v>3.13</v>
      </c>
      <c r="T567">
        <v>4.82</v>
      </c>
      <c r="U567">
        <v>7.06</v>
      </c>
      <c r="V567">
        <v>0.28000000000000003</v>
      </c>
      <c r="W567">
        <v>208.48</v>
      </c>
      <c r="X567" t="s">
        <v>57</v>
      </c>
      <c r="Y567" t="s">
        <v>33</v>
      </c>
    </row>
    <row r="568" spans="1:25" x14ac:dyDescent="0.3">
      <c r="A568">
        <v>567</v>
      </c>
      <c r="B568" t="s">
        <v>249</v>
      </c>
      <c r="C568" t="s">
        <v>508</v>
      </c>
      <c r="D568" t="s">
        <v>54</v>
      </c>
      <c r="E568" t="s">
        <v>28</v>
      </c>
      <c r="F568">
        <v>1</v>
      </c>
      <c r="G568">
        <v>120</v>
      </c>
      <c r="H568">
        <v>120</v>
      </c>
      <c r="I568">
        <v>50</v>
      </c>
      <c r="J568">
        <v>50</v>
      </c>
      <c r="K568">
        <v>70</v>
      </c>
      <c r="L568" t="s">
        <v>29</v>
      </c>
      <c r="M568" t="s">
        <v>30</v>
      </c>
      <c r="N568" t="s">
        <v>51</v>
      </c>
      <c r="O568">
        <v>17.86</v>
      </c>
      <c r="P568">
        <v>57.4</v>
      </c>
      <c r="Q568">
        <v>15.9</v>
      </c>
      <c r="R568">
        <v>12.56</v>
      </c>
      <c r="S568">
        <v>2.2400000000000002</v>
      </c>
      <c r="T568">
        <v>3.38</v>
      </c>
      <c r="U568">
        <v>2.62</v>
      </c>
      <c r="V568">
        <v>1.62</v>
      </c>
      <c r="W568">
        <v>-43.58</v>
      </c>
      <c r="X568" t="s">
        <v>57</v>
      </c>
      <c r="Y568" t="s">
        <v>33</v>
      </c>
    </row>
    <row r="569" spans="1:25" x14ac:dyDescent="0.3">
      <c r="A569">
        <v>568</v>
      </c>
      <c r="B569" t="s">
        <v>168</v>
      </c>
      <c r="C569" t="s">
        <v>290</v>
      </c>
      <c r="D569" t="s">
        <v>49</v>
      </c>
      <c r="E569" t="s">
        <v>50</v>
      </c>
      <c r="F569">
        <v>3</v>
      </c>
      <c r="G569">
        <v>180</v>
      </c>
      <c r="H569">
        <v>540</v>
      </c>
      <c r="I569">
        <v>90</v>
      </c>
      <c r="J569">
        <v>270</v>
      </c>
      <c r="K569">
        <v>270</v>
      </c>
      <c r="L569" t="s">
        <v>29</v>
      </c>
      <c r="M569" t="s">
        <v>63</v>
      </c>
      <c r="N569" t="s">
        <v>46</v>
      </c>
      <c r="O569">
        <v>14.06</v>
      </c>
      <c r="P569">
        <v>34.119999999999997</v>
      </c>
      <c r="Q569">
        <v>19.97</v>
      </c>
      <c r="R569">
        <v>27.03</v>
      </c>
      <c r="S569">
        <v>0.08</v>
      </c>
      <c r="T569">
        <v>10.42</v>
      </c>
      <c r="U569">
        <v>6.36</v>
      </c>
      <c r="V569">
        <v>0.12</v>
      </c>
      <c r="W569">
        <v>157.84</v>
      </c>
      <c r="X569" t="s">
        <v>57</v>
      </c>
      <c r="Y569" t="s">
        <v>40</v>
      </c>
    </row>
    <row r="570" spans="1:25" x14ac:dyDescent="0.3">
      <c r="A570">
        <v>569</v>
      </c>
      <c r="B570" t="s">
        <v>344</v>
      </c>
      <c r="C570" t="s">
        <v>400</v>
      </c>
      <c r="D570" t="s">
        <v>54</v>
      </c>
      <c r="E570" t="s">
        <v>28</v>
      </c>
      <c r="F570">
        <v>2</v>
      </c>
      <c r="G570">
        <v>120</v>
      </c>
      <c r="H570">
        <v>240</v>
      </c>
      <c r="I570">
        <v>50</v>
      </c>
      <c r="J570">
        <v>100</v>
      </c>
      <c r="K570">
        <v>140</v>
      </c>
      <c r="L570" t="s">
        <v>44</v>
      </c>
      <c r="M570" t="s">
        <v>38</v>
      </c>
      <c r="N570" t="s">
        <v>90</v>
      </c>
      <c r="O570">
        <v>39.380000000000003</v>
      </c>
      <c r="P570">
        <v>38.380000000000003</v>
      </c>
      <c r="Q570">
        <v>10.16</v>
      </c>
      <c r="R570">
        <v>1.58</v>
      </c>
      <c r="S570">
        <v>3.16</v>
      </c>
      <c r="T570">
        <v>6.27</v>
      </c>
      <c r="U570">
        <v>3.63</v>
      </c>
      <c r="V570">
        <v>0.27</v>
      </c>
      <c r="W570">
        <v>37.17</v>
      </c>
      <c r="X570" t="s">
        <v>57</v>
      </c>
      <c r="Y570" t="s">
        <v>33</v>
      </c>
    </row>
    <row r="571" spans="1:25" x14ac:dyDescent="0.3">
      <c r="A571">
        <v>570</v>
      </c>
      <c r="B571" t="s">
        <v>253</v>
      </c>
      <c r="C571" t="s">
        <v>282</v>
      </c>
      <c r="D571" t="s">
        <v>49</v>
      </c>
      <c r="E571" t="s">
        <v>50</v>
      </c>
      <c r="F571">
        <v>2</v>
      </c>
      <c r="G571">
        <v>180</v>
      </c>
      <c r="H571">
        <v>360</v>
      </c>
      <c r="I571">
        <v>90</v>
      </c>
      <c r="J571">
        <v>180</v>
      </c>
      <c r="K571">
        <v>180</v>
      </c>
      <c r="L571" t="s">
        <v>86</v>
      </c>
      <c r="M571" t="s">
        <v>45</v>
      </c>
      <c r="N571" t="s">
        <v>81</v>
      </c>
      <c r="O571">
        <v>39.68</v>
      </c>
      <c r="P571">
        <v>55.59</v>
      </c>
      <c r="Q571">
        <v>16.440000000000001</v>
      </c>
      <c r="R571">
        <v>18.09</v>
      </c>
      <c r="S571">
        <v>4.6500000000000004</v>
      </c>
      <c r="T571">
        <v>8.39</v>
      </c>
      <c r="U571">
        <v>3.62</v>
      </c>
      <c r="V571">
        <v>2.8</v>
      </c>
      <c r="W571">
        <v>30.74</v>
      </c>
      <c r="X571" t="s">
        <v>57</v>
      </c>
      <c r="Y571" t="s">
        <v>33</v>
      </c>
    </row>
    <row r="572" spans="1:25" x14ac:dyDescent="0.3">
      <c r="A572">
        <v>571</v>
      </c>
      <c r="B572" t="s">
        <v>507</v>
      </c>
      <c r="C572" t="s">
        <v>509</v>
      </c>
      <c r="D572" t="s">
        <v>49</v>
      </c>
      <c r="E572" t="s">
        <v>50</v>
      </c>
      <c r="F572">
        <v>1</v>
      </c>
      <c r="G572">
        <v>180</v>
      </c>
      <c r="H572">
        <v>180</v>
      </c>
      <c r="I572">
        <v>90</v>
      </c>
      <c r="J572">
        <v>90</v>
      </c>
      <c r="K572">
        <v>90</v>
      </c>
      <c r="L572" t="s">
        <v>37</v>
      </c>
      <c r="M572" t="s">
        <v>56</v>
      </c>
      <c r="N572" t="s">
        <v>90</v>
      </c>
      <c r="O572">
        <v>32.11</v>
      </c>
      <c r="P572">
        <v>40.72</v>
      </c>
      <c r="Q572">
        <v>14.24</v>
      </c>
      <c r="R572">
        <v>17.14</v>
      </c>
      <c r="S572">
        <v>4.78</v>
      </c>
      <c r="T572">
        <v>7.6</v>
      </c>
      <c r="U572">
        <v>7.62</v>
      </c>
      <c r="V572">
        <v>0.96</v>
      </c>
      <c r="W572">
        <v>-35.17</v>
      </c>
      <c r="X572" t="s">
        <v>57</v>
      </c>
      <c r="Y572" t="s">
        <v>40</v>
      </c>
    </row>
    <row r="573" spans="1:25" x14ac:dyDescent="0.3">
      <c r="A573">
        <v>572</v>
      </c>
      <c r="B573" t="s">
        <v>388</v>
      </c>
      <c r="C573" t="s">
        <v>510</v>
      </c>
      <c r="D573" t="s">
        <v>27</v>
      </c>
      <c r="E573" t="s">
        <v>28</v>
      </c>
      <c r="F573">
        <v>2</v>
      </c>
      <c r="G573">
        <v>200</v>
      </c>
      <c r="H573">
        <v>400</v>
      </c>
      <c r="I573">
        <v>90</v>
      </c>
      <c r="J573">
        <v>180</v>
      </c>
      <c r="K573">
        <v>220</v>
      </c>
      <c r="L573" t="s">
        <v>29</v>
      </c>
      <c r="M573" t="s">
        <v>45</v>
      </c>
      <c r="N573" t="s">
        <v>39</v>
      </c>
      <c r="O573">
        <v>13.42</v>
      </c>
      <c r="P573">
        <v>29.43</v>
      </c>
      <c r="Q573">
        <v>18.79</v>
      </c>
      <c r="R573">
        <v>18.3</v>
      </c>
      <c r="S573">
        <v>1.64</v>
      </c>
      <c r="T573">
        <v>3.97</v>
      </c>
      <c r="U573">
        <v>4.7</v>
      </c>
      <c r="V573">
        <v>0.28000000000000003</v>
      </c>
      <c r="W573">
        <v>129.47</v>
      </c>
      <c r="X573" t="s">
        <v>57</v>
      </c>
      <c r="Y573" t="s">
        <v>40</v>
      </c>
    </row>
    <row r="574" spans="1:25" x14ac:dyDescent="0.3">
      <c r="A574">
        <v>573</v>
      </c>
      <c r="B574" t="s">
        <v>213</v>
      </c>
      <c r="C574" t="s">
        <v>357</v>
      </c>
      <c r="D574" t="s">
        <v>89</v>
      </c>
      <c r="E574" t="s">
        <v>28</v>
      </c>
      <c r="F574">
        <v>1</v>
      </c>
      <c r="G574">
        <v>180</v>
      </c>
      <c r="H574">
        <v>180</v>
      </c>
      <c r="I574">
        <v>75</v>
      </c>
      <c r="J574">
        <v>75</v>
      </c>
      <c r="K574">
        <v>105</v>
      </c>
      <c r="L574" t="s">
        <v>44</v>
      </c>
      <c r="M574" t="s">
        <v>38</v>
      </c>
      <c r="N574" t="s">
        <v>31</v>
      </c>
      <c r="O574">
        <v>20.56</v>
      </c>
      <c r="P574">
        <v>44.39</v>
      </c>
      <c r="Q574">
        <v>14.26</v>
      </c>
      <c r="R574">
        <v>10.92</v>
      </c>
      <c r="S574">
        <v>1.54</v>
      </c>
      <c r="T574">
        <v>2.57</v>
      </c>
      <c r="U574">
        <v>4.3499999999999996</v>
      </c>
      <c r="V574">
        <v>1.52</v>
      </c>
      <c r="W574">
        <v>4.8899999999999997</v>
      </c>
      <c r="X574" t="s">
        <v>57</v>
      </c>
      <c r="Y574" t="s">
        <v>40</v>
      </c>
    </row>
    <row r="575" spans="1:25" x14ac:dyDescent="0.3">
      <c r="A575">
        <v>574</v>
      </c>
      <c r="B575" t="s">
        <v>79</v>
      </c>
      <c r="C575" t="s">
        <v>511</v>
      </c>
      <c r="D575" t="s">
        <v>49</v>
      </c>
      <c r="E575" t="s">
        <v>50</v>
      </c>
      <c r="F575">
        <v>4</v>
      </c>
      <c r="G575">
        <v>180</v>
      </c>
      <c r="H575">
        <v>720</v>
      </c>
      <c r="I575">
        <v>90</v>
      </c>
      <c r="J575">
        <v>360</v>
      </c>
      <c r="K575">
        <v>360</v>
      </c>
      <c r="L575" t="s">
        <v>44</v>
      </c>
      <c r="M575" t="s">
        <v>45</v>
      </c>
      <c r="N575" t="s">
        <v>46</v>
      </c>
      <c r="O575">
        <v>38.659999999999997</v>
      </c>
      <c r="P575">
        <v>55.24</v>
      </c>
      <c r="Q575">
        <v>11.19</v>
      </c>
      <c r="R575">
        <v>2.61</v>
      </c>
      <c r="S575">
        <v>0.08</v>
      </c>
      <c r="T575">
        <v>7.25</v>
      </c>
      <c r="U575">
        <v>3.76</v>
      </c>
      <c r="V575">
        <v>1.91</v>
      </c>
      <c r="W575">
        <v>239.3</v>
      </c>
      <c r="X575" t="s">
        <v>57</v>
      </c>
      <c r="Y575" t="s">
        <v>40</v>
      </c>
    </row>
    <row r="576" spans="1:25" x14ac:dyDescent="0.3">
      <c r="A576">
        <v>575</v>
      </c>
      <c r="B576" t="s">
        <v>425</v>
      </c>
      <c r="C576" t="s">
        <v>512</v>
      </c>
      <c r="D576" t="s">
        <v>54</v>
      </c>
      <c r="E576" t="s">
        <v>28</v>
      </c>
      <c r="F576">
        <v>2</v>
      </c>
      <c r="G576">
        <v>120</v>
      </c>
      <c r="H576">
        <v>240</v>
      </c>
      <c r="I576">
        <v>50</v>
      </c>
      <c r="J576">
        <v>100</v>
      </c>
      <c r="K576">
        <v>140</v>
      </c>
      <c r="L576" t="s">
        <v>37</v>
      </c>
      <c r="M576" t="s">
        <v>30</v>
      </c>
      <c r="N576" t="s">
        <v>46</v>
      </c>
      <c r="O576">
        <v>24.78</v>
      </c>
      <c r="P576">
        <v>30.65</v>
      </c>
      <c r="Q576">
        <v>14.49</v>
      </c>
      <c r="R576">
        <v>1</v>
      </c>
      <c r="S576">
        <v>1.36</v>
      </c>
      <c r="T576">
        <v>14.93</v>
      </c>
      <c r="U576">
        <v>1.35</v>
      </c>
      <c r="V576">
        <v>2.79</v>
      </c>
      <c r="W576">
        <v>48.65</v>
      </c>
      <c r="X576" t="s">
        <v>57</v>
      </c>
      <c r="Y576" t="s">
        <v>40</v>
      </c>
    </row>
    <row r="577" spans="1:25" x14ac:dyDescent="0.3">
      <c r="A577">
        <v>576</v>
      </c>
      <c r="B577" t="s">
        <v>238</v>
      </c>
      <c r="C577" t="s">
        <v>326</v>
      </c>
      <c r="D577" t="s">
        <v>43</v>
      </c>
      <c r="E577" t="s">
        <v>43</v>
      </c>
      <c r="F577">
        <v>3</v>
      </c>
      <c r="G577">
        <v>80</v>
      </c>
      <c r="H577">
        <v>240</v>
      </c>
      <c r="I577">
        <v>30</v>
      </c>
      <c r="J577">
        <v>90</v>
      </c>
      <c r="K577">
        <v>150</v>
      </c>
      <c r="L577" t="s">
        <v>44</v>
      </c>
      <c r="M577" t="s">
        <v>30</v>
      </c>
      <c r="N577" t="s">
        <v>90</v>
      </c>
      <c r="O577">
        <v>27.2</v>
      </c>
      <c r="P577">
        <v>44.29</v>
      </c>
      <c r="Q577">
        <v>15.56</v>
      </c>
      <c r="R577">
        <v>12.77</v>
      </c>
      <c r="S577">
        <v>3.81</v>
      </c>
      <c r="T577">
        <v>13.86</v>
      </c>
      <c r="U577">
        <v>1.83</v>
      </c>
      <c r="V577">
        <v>0.19</v>
      </c>
      <c r="W577">
        <v>30.49</v>
      </c>
      <c r="X577" t="s">
        <v>32</v>
      </c>
      <c r="Y577" t="s">
        <v>33</v>
      </c>
    </row>
    <row r="578" spans="1:25" x14ac:dyDescent="0.3">
      <c r="A578">
        <v>577</v>
      </c>
      <c r="B578" t="s">
        <v>472</v>
      </c>
      <c r="C578" t="s">
        <v>136</v>
      </c>
      <c r="D578" t="s">
        <v>62</v>
      </c>
      <c r="E578" t="s">
        <v>28</v>
      </c>
      <c r="F578">
        <v>3</v>
      </c>
      <c r="G578">
        <v>250</v>
      </c>
      <c r="H578">
        <v>750</v>
      </c>
      <c r="I578">
        <v>110</v>
      </c>
      <c r="J578">
        <v>330</v>
      </c>
      <c r="K578">
        <v>420</v>
      </c>
      <c r="L578" t="s">
        <v>44</v>
      </c>
      <c r="M578" t="s">
        <v>63</v>
      </c>
      <c r="N578" t="s">
        <v>31</v>
      </c>
      <c r="O578">
        <v>11.79</v>
      </c>
      <c r="P578">
        <v>16.27</v>
      </c>
      <c r="Q578">
        <v>7.39</v>
      </c>
      <c r="R578">
        <v>25.33</v>
      </c>
      <c r="S578">
        <v>0.02</v>
      </c>
      <c r="T578">
        <v>3.61</v>
      </c>
      <c r="U578">
        <v>6.52</v>
      </c>
      <c r="V578">
        <v>2.4</v>
      </c>
      <c r="W578">
        <v>346.67</v>
      </c>
      <c r="X578" t="s">
        <v>57</v>
      </c>
      <c r="Y578" t="s">
        <v>40</v>
      </c>
    </row>
    <row r="579" spans="1:25" x14ac:dyDescent="0.3">
      <c r="A579">
        <v>578</v>
      </c>
      <c r="B579" t="s">
        <v>478</v>
      </c>
      <c r="C579" t="s">
        <v>261</v>
      </c>
      <c r="D579" t="s">
        <v>43</v>
      </c>
      <c r="E579" t="s">
        <v>43</v>
      </c>
      <c r="F579">
        <v>1</v>
      </c>
      <c r="G579">
        <v>80</v>
      </c>
      <c r="H579">
        <v>80</v>
      </c>
      <c r="I579">
        <v>30</v>
      </c>
      <c r="J579">
        <v>30</v>
      </c>
      <c r="K579">
        <v>50</v>
      </c>
      <c r="L579" t="s">
        <v>44</v>
      </c>
      <c r="M579" t="s">
        <v>63</v>
      </c>
      <c r="N579" t="s">
        <v>90</v>
      </c>
      <c r="O579">
        <v>31.05</v>
      </c>
      <c r="P579">
        <v>27.26</v>
      </c>
      <c r="Q579">
        <v>7.04</v>
      </c>
      <c r="R579">
        <v>33.700000000000003</v>
      </c>
      <c r="S579">
        <v>2.54</v>
      </c>
      <c r="T579">
        <v>6.72</v>
      </c>
      <c r="U579">
        <v>5.81</v>
      </c>
      <c r="V579">
        <v>2.0699999999999998</v>
      </c>
      <c r="W579">
        <v>-66.19</v>
      </c>
      <c r="X579" t="s">
        <v>57</v>
      </c>
      <c r="Y579" t="s">
        <v>40</v>
      </c>
    </row>
    <row r="580" spans="1:25" x14ac:dyDescent="0.3">
      <c r="A580">
        <v>579</v>
      </c>
      <c r="B580" t="s">
        <v>263</v>
      </c>
      <c r="C580" t="s">
        <v>473</v>
      </c>
      <c r="D580" t="s">
        <v>43</v>
      </c>
      <c r="E580" t="s">
        <v>43</v>
      </c>
      <c r="F580">
        <v>2</v>
      </c>
      <c r="G580">
        <v>80</v>
      </c>
      <c r="H580">
        <v>160</v>
      </c>
      <c r="I580">
        <v>30</v>
      </c>
      <c r="J580">
        <v>60</v>
      </c>
      <c r="K580">
        <v>100</v>
      </c>
      <c r="L580" t="s">
        <v>37</v>
      </c>
      <c r="M580" t="s">
        <v>63</v>
      </c>
      <c r="N580" t="s">
        <v>81</v>
      </c>
      <c r="O580">
        <v>18.52</v>
      </c>
      <c r="P580">
        <v>56.68</v>
      </c>
      <c r="Q580">
        <v>14.75</v>
      </c>
      <c r="R580">
        <v>2.59</v>
      </c>
      <c r="S580">
        <v>2.89</v>
      </c>
      <c r="T580">
        <v>7.82</v>
      </c>
      <c r="U580">
        <v>1.75</v>
      </c>
      <c r="V580">
        <v>0.96</v>
      </c>
      <c r="W580">
        <v>-5.96</v>
      </c>
      <c r="X580" t="s">
        <v>57</v>
      </c>
      <c r="Y580" t="s">
        <v>40</v>
      </c>
    </row>
    <row r="581" spans="1:25" x14ac:dyDescent="0.3">
      <c r="A581">
        <v>580</v>
      </c>
      <c r="B581" t="s">
        <v>394</v>
      </c>
      <c r="C581" t="s">
        <v>511</v>
      </c>
      <c r="D581" t="s">
        <v>109</v>
      </c>
      <c r="E581" t="s">
        <v>50</v>
      </c>
      <c r="F581">
        <v>2</v>
      </c>
      <c r="G581">
        <v>150</v>
      </c>
      <c r="H581">
        <v>300</v>
      </c>
      <c r="I581">
        <v>70</v>
      </c>
      <c r="J581">
        <v>140</v>
      </c>
      <c r="K581">
        <v>160</v>
      </c>
      <c r="L581" t="s">
        <v>29</v>
      </c>
      <c r="M581" t="s">
        <v>30</v>
      </c>
      <c r="N581" t="s">
        <v>39</v>
      </c>
      <c r="O581">
        <v>28.04</v>
      </c>
      <c r="P581">
        <v>42.03</v>
      </c>
      <c r="Q581">
        <v>7.8</v>
      </c>
      <c r="R581">
        <v>29.67</v>
      </c>
      <c r="S581">
        <v>2.5</v>
      </c>
      <c r="T581">
        <v>11.4</v>
      </c>
      <c r="U581">
        <v>7.82</v>
      </c>
      <c r="V581">
        <v>2.76</v>
      </c>
      <c r="W581">
        <v>27.98</v>
      </c>
      <c r="X581" t="s">
        <v>66</v>
      </c>
      <c r="Y581" t="s">
        <v>33</v>
      </c>
    </row>
    <row r="582" spans="1:25" x14ac:dyDescent="0.3">
      <c r="A582">
        <v>581</v>
      </c>
      <c r="B582" t="s">
        <v>154</v>
      </c>
      <c r="C582" t="s">
        <v>189</v>
      </c>
      <c r="D582" t="s">
        <v>27</v>
      </c>
      <c r="E582" t="s">
        <v>28</v>
      </c>
      <c r="F582">
        <v>3</v>
      </c>
      <c r="G582">
        <v>200</v>
      </c>
      <c r="H582">
        <v>600</v>
      </c>
      <c r="I582">
        <v>90</v>
      </c>
      <c r="J582">
        <v>270</v>
      </c>
      <c r="K582">
        <v>330</v>
      </c>
      <c r="L582" t="s">
        <v>44</v>
      </c>
      <c r="M582" t="s">
        <v>63</v>
      </c>
      <c r="N582" t="s">
        <v>51</v>
      </c>
      <c r="O582">
        <v>25.57</v>
      </c>
      <c r="P582">
        <v>39.200000000000003</v>
      </c>
      <c r="Q582">
        <v>13.36</v>
      </c>
      <c r="R582">
        <v>1.52</v>
      </c>
      <c r="S582">
        <v>3.28</v>
      </c>
      <c r="T582">
        <v>12.41</v>
      </c>
      <c r="U582">
        <v>4.95</v>
      </c>
      <c r="V582">
        <v>1.58</v>
      </c>
      <c r="W582">
        <v>228.13</v>
      </c>
      <c r="X582" t="s">
        <v>32</v>
      </c>
      <c r="Y582" t="s">
        <v>40</v>
      </c>
    </row>
    <row r="583" spans="1:25" x14ac:dyDescent="0.3">
      <c r="A583">
        <v>582</v>
      </c>
      <c r="B583" t="s">
        <v>225</v>
      </c>
      <c r="C583" t="s">
        <v>418</v>
      </c>
      <c r="D583" t="s">
        <v>109</v>
      </c>
      <c r="E583" t="s">
        <v>50</v>
      </c>
      <c r="F583">
        <v>3</v>
      </c>
      <c r="G583">
        <v>150</v>
      </c>
      <c r="H583">
        <v>450</v>
      </c>
      <c r="I583">
        <v>70</v>
      </c>
      <c r="J583">
        <v>210</v>
      </c>
      <c r="K583">
        <v>240</v>
      </c>
      <c r="L583" t="s">
        <v>29</v>
      </c>
      <c r="M583" t="s">
        <v>38</v>
      </c>
      <c r="N583" t="s">
        <v>81</v>
      </c>
      <c r="O583">
        <v>26.64</v>
      </c>
      <c r="P583">
        <v>23.09</v>
      </c>
      <c r="Q583">
        <v>15.89</v>
      </c>
      <c r="R583">
        <v>23.7</v>
      </c>
      <c r="S583">
        <v>1.49</v>
      </c>
      <c r="T583">
        <v>13.57</v>
      </c>
      <c r="U583">
        <v>2.14</v>
      </c>
      <c r="V583">
        <v>2.5099999999999998</v>
      </c>
      <c r="W583">
        <v>130.97</v>
      </c>
      <c r="X583" t="s">
        <v>57</v>
      </c>
      <c r="Y583" t="s">
        <v>33</v>
      </c>
    </row>
    <row r="584" spans="1:25" x14ac:dyDescent="0.3">
      <c r="A584">
        <v>583</v>
      </c>
      <c r="B584" t="s">
        <v>52</v>
      </c>
      <c r="C584" t="s">
        <v>411</v>
      </c>
      <c r="D584" t="s">
        <v>49</v>
      </c>
      <c r="E584" t="s">
        <v>50</v>
      </c>
      <c r="F584">
        <v>1</v>
      </c>
      <c r="G584">
        <v>180</v>
      </c>
      <c r="H584">
        <v>180</v>
      </c>
      <c r="I584">
        <v>90</v>
      </c>
      <c r="J584">
        <v>90</v>
      </c>
      <c r="K584">
        <v>90</v>
      </c>
      <c r="L584" t="s">
        <v>55</v>
      </c>
      <c r="M584" t="s">
        <v>30</v>
      </c>
      <c r="N584" t="s">
        <v>31</v>
      </c>
      <c r="O584">
        <v>33.340000000000003</v>
      </c>
      <c r="P584">
        <v>23.23</v>
      </c>
      <c r="Q584">
        <v>19.809999999999999</v>
      </c>
      <c r="R584">
        <v>27.5</v>
      </c>
      <c r="S584">
        <v>4.87</v>
      </c>
      <c r="T584">
        <v>5.71</v>
      </c>
      <c r="U584">
        <v>2.2400000000000002</v>
      </c>
      <c r="V584">
        <v>1.32</v>
      </c>
      <c r="W584">
        <v>-28.02</v>
      </c>
      <c r="X584" t="s">
        <v>66</v>
      </c>
      <c r="Y584" t="s">
        <v>40</v>
      </c>
    </row>
    <row r="585" spans="1:25" x14ac:dyDescent="0.3">
      <c r="A585">
        <v>584</v>
      </c>
      <c r="B585" t="s">
        <v>309</v>
      </c>
      <c r="C585" t="s">
        <v>428</v>
      </c>
      <c r="D585" t="s">
        <v>109</v>
      </c>
      <c r="E585" t="s">
        <v>50</v>
      </c>
      <c r="F585">
        <v>2</v>
      </c>
      <c r="G585">
        <v>150</v>
      </c>
      <c r="H585">
        <v>300</v>
      </c>
      <c r="I585">
        <v>70</v>
      </c>
      <c r="J585">
        <v>140</v>
      </c>
      <c r="K585">
        <v>160</v>
      </c>
      <c r="L585" t="s">
        <v>37</v>
      </c>
      <c r="M585" t="s">
        <v>45</v>
      </c>
      <c r="N585" t="s">
        <v>31</v>
      </c>
      <c r="O585">
        <v>35.83</v>
      </c>
      <c r="P585">
        <v>59.75</v>
      </c>
      <c r="Q585">
        <v>6.9</v>
      </c>
      <c r="R585">
        <v>19.309999999999999</v>
      </c>
      <c r="S585">
        <v>3.99</v>
      </c>
      <c r="T585">
        <v>12.46</v>
      </c>
      <c r="U585">
        <v>1.28</v>
      </c>
      <c r="V585">
        <v>1.42</v>
      </c>
      <c r="W585">
        <v>19.059999999999999</v>
      </c>
      <c r="X585" t="s">
        <v>57</v>
      </c>
      <c r="Y585" t="s">
        <v>40</v>
      </c>
    </row>
    <row r="586" spans="1:25" x14ac:dyDescent="0.3">
      <c r="A586">
        <v>585</v>
      </c>
      <c r="B586" t="s">
        <v>344</v>
      </c>
      <c r="C586" t="s">
        <v>98</v>
      </c>
      <c r="D586" t="s">
        <v>89</v>
      </c>
      <c r="E586" t="s">
        <v>28</v>
      </c>
      <c r="F586">
        <v>1</v>
      </c>
      <c r="G586">
        <v>180</v>
      </c>
      <c r="H586">
        <v>180</v>
      </c>
      <c r="I586">
        <v>75</v>
      </c>
      <c r="J586">
        <v>75</v>
      </c>
      <c r="K586">
        <v>105</v>
      </c>
      <c r="L586" t="s">
        <v>44</v>
      </c>
      <c r="M586" t="s">
        <v>45</v>
      </c>
      <c r="N586" t="s">
        <v>46</v>
      </c>
      <c r="O586">
        <v>37.659999999999997</v>
      </c>
      <c r="P586">
        <v>53.04</v>
      </c>
      <c r="Q586">
        <v>16.04</v>
      </c>
      <c r="R586">
        <v>22.88</v>
      </c>
      <c r="S586">
        <v>1.25</v>
      </c>
      <c r="T586">
        <v>12.3</v>
      </c>
      <c r="U586">
        <v>6.28</v>
      </c>
      <c r="V586">
        <v>1.95</v>
      </c>
      <c r="W586">
        <v>-46.4</v>
      </c>
      <c r="X586" t="s">
        <v>57</v>
      </c>
      <c r="Y586" t="s">
        <v>33</v>
      </c>
    </row>
    <row r="587" spans="1:25" x14ac:dyDescent="0.3">
      <c r="A587">
        <v>586</v>
      </c>
      <c r="B587" t="s">
        <v>205</v>
      </c>
      <c r="C587" t="s">
        <v>461</v>
      </c>
      <c r="D587" t="s">
        <v>43</v>
      </c>
      <c r="E587" t="s">
        <v>43</v>
      </c>
      <c r="F587">
        <v>2</v>
      </c>
      <c r="G587">
        <v>80</v>
      </c>
      <c r="H587">
        <v>160</v>
      </c>
      <c r="I587">
        <v>30</v>
      </c>
      <c r="J587">
        <v>60</v>
      </c>
      <c r="K587">
        <v>100</v>
      </c>
      <c r="L587" t="s">
        <v>86</v>
      </c>
      <c r="M587" t="s">
        <v>45</v>
      </c>
      <c r="N587" t="s">
        <v>90</v>
      </c>
      <c r="O587">
        <v>33.56</v>
      </c>
      <c r="P587">
        <v>31.58</v>
      </c>
      <c r="Q587">
        <v>15.25</v>
      </c>
      <c r="R587">
        <v>5.83</v>
      </c>
      <c r="S587">
        <v>1.64</v>
      </c>
      <c r="T587">
        <v>2.25</v>
      </c>
      <c r="U587">
        <v>3.56</v>
      </c>
      <c r="V587">
        <v>1.67</v>
      </c>
      <c r="W587">
        <v>4.66</v>
      </c>
      <c r="X587" t="s">
        <v>57</v>
      </c>
      <c r="Y587" t="s">
        <v>33</v>
      </c>
    </row>
    <row r="588" spans="1:25" x14ac:dyDescent="0.3">
      <c r="A588">
        <v>587</v>
      </c>
      <c r="B588" t="s">
        <v>134</v>
      </c>
      <c r="C588" t="s">
        <v>241</v>
      </c>
      <c r="D588" t="s">
        <v>27</v>
      </c>
      <c r="E588" t="s">
        <v>28</v>
      </c>
      <c r="F588">
        <v>2</v>
      </c>
      <c r="G588">
        <v>200</v>
      </c>
      <c r="H588">
        <v>400</v>
      </c>
      <c r="I588">
        <v>90</v>
      </c>
      <c r="J588">
        <v>180</v>
      </c>
      <c r="K588">
        <v>220</v>
      </c>
      <c r="L588" t="s">
        <v>86</v>
      </c>
      <c r="M588" t="s">
        <v>38</v>
      </c>
      <c r="N588" t="s">
        <v>81</v>
      </c>
      <c r="O588">
        <v>36.43</v>
      </c>
      <c r="P588">
        <v>29.59</v>
      </c>
      <c r="Q588">
        <v>10.85</v>
      </c>
      <c r="R588">
        <v>13.86</v>
      </c>
      <c r="S588">
        <v>1.56</v>
      </c>
      <c r="T588">
        <v>5.61</v>
      </c>
      <c r="U588">
        <v>5.61</v>
      </c>
      <c r="V588">
        <v>0.88</v>
      </c>
      <c r="W588">
        <v>115.61</v>
      </c>
      <c r="X588" t="s">
        <v>57</v>
      </c>
      <c r="Y588" t="s">
        <v>33</v>
      </c>
    </row>
    <row r="589" spans="1:25" x14ac:dyDescent="0.3">
      <c r="A589">
        <v>588</v>
      </c>
      <c r="B589" t="s">
        <v>513</v>
      </c>
      <c r="C589" t="s">
        <v>286</v>
      </c>
      <c r="D589" t="s">
        <v>54</v>
      </c>
      <c r="E589" t="s">
        <v>28</v>
      </c>
      <c r="F589">
        <v>4</v>
      </c>
      <c r="G589">
        <v>120</v>
      </c>
      <c r="H589">
        <v>480</v>
      </c>
      <c r="I589">
        <v>50</v>
      </c>
      <c r="J589">
        <v>200</v>
      </c>
      <c r="K589">
        <v>280</v>
      </c>
      <c r="L589" t="s">
        <v>55</v>
      </c>
      <c r="M589" t="s">
        <v>45</v>
      </c>
      <c r="N589" t="s">
        <v>90</v>
      </c>
      <c r="O589">
        <v>36.53</v>
      </c>
      <c r="P589">
        <v>39.79</v>
      </c>
      <c r="Q589">
        <v>19.760000000000002</v>
      </c>
      <c r="R589">
        <v>9.4499999999999993</v>
      </c>
      <c r="S589">
        <v>4.4800000000000004</v>
      </c>
      <c r="T589">
        <v>9.32</v>
      </c>
      <c r="U589">
        <v>5.83</v>
      </c>
      <c r="V589">
        <v>2.33</v>
      </c>
      <c r="W589">
        <v>152.51</v>
      </c>
      <c r="X589" t="s">
        <v>66</v>
      </c>
      <c r="Y589" t="s">
        <v>33</v>
      </c>
    </row>
    <row r="590" spans="1:25" x14ac:dyDescent="0.3">
      <c r="A590">
        <v>589</v>
      </c>
      <c r="B590" t="s">
        <v>284</v>
      </c>
      <c r="C590" t="s">
        <v>162</v>
      </c>
      <c r="D590" t="s">
        <v>49</v>
      </c>
      <c r="E590" t="s">
        <v>50</v>
      </c>
      <c r="F590">
        <v>1</v>
      </c>
      <c r="G590">
        <v>180</v>
      </c>
      <c r="H590">
        <v>180</v>
      </c>
      <c r="I590">
        <v>90</v>
      </c>
      <c r="J590">
        <v>90</v>
      </c>
      <c r="K590">
        <v>90</v>
      </c>
      <c r="L590" t="s">
        <v>86</v>
      </c>
      <c r="M590" t="s">
        <v>30</v>
      </c>
      <c r="N590" t="s">
        <v>81</v>
      </c>
      <c r="O590">
        <v>30.53</v>
      </c>
      <c r="P590">
        <v>56.41</v>
      </c>
      <c r="Q590">
        <v>14.98</v>
      </c>
      <c r="R590">
        <v>17.989999999999998</v>
      </c>
      <c r="S590">
        <v>3.27</v>
      </c>
      <c r="T590">
        <v>9.83</v>
      </c>
      <c r="U590">
        <v>5.66</v>
      </c>
      <c r="V590">
        <v>0.2</v>
      </c>
      <c r="W590">
        <v>-48.87</v>
      </c>
      <c r="X590" t="s">
        <v>32</v>
      </c>
      <c r="Y590" t="s">
        <v>40</v>
      </c>
    </row>
    <row r="591" spans="1:25" x14ac:dyDescent="0.3">
      <c r="A591">
        <v>590</v>
      </c>
      <c r="B591" t="s">
        <v>268</v>
      </c>
      <c r="C591" t="s">
        <v>432</v>
      </c>
      <c r="D591" t="s">
        <v>49</v>
      </c>
      <c r="E591" t="s">
        <v>50</v>
      </c>
      <c r="F591">
        <v>2</v>
      </c>
      <c r="G591">
        <v>180</v>
      </c>
      <c r="H591">
        <v>360</v>
      </c>
      <c r="I591">
        <v>90</v>
      </c>
      <c r="J591">
        <v>180</v>
      </c>
      <c r="K591">
        <v>180</v>
      </c>
      <c r="L591" t="s">
        <v>44</v>
      </c>
      <c r="M591" t="s">
        <v>45</v>
      </c>
      <c r="N591" t="s">
        <v>90</v>
      </c>
      <c r="O591">
        <v>33.54</v>
      </c>
      <c r="P591">
        <v>41.56</v>
      </c>
      <c r="Q591">
        <v>5.7</v>
      </c>
      <c r="R591">
        <v>5.07</v>
      </c>
      <c r="S591">
        <v>2.5499999999999998</v>
      </c>
      <c r="T591">
        <v>11.04</v>
      </c>
      <c r="U591">
        <v>4.9000000000000004</v>
      </c>
      <c r="V591">
        <v>0.65</v>
      </c>
      <c r="W591">
        <v>74.989999999999995</v>
      </c>
      <c r="X591" t="s">
        <v>57</v>
      </c>
      <c r="Y591" t="s">
        <v>33</v>
      </c>
    </row>
    <row r="592" spans="1:25" x14ac:dyDescent="0.3">
      <c r="A592">
        <v>591</v>
      </c>
      <c r="B592" t="s">
        <v>306</v>
      </c>
      <c r="C592" t="s">
        <v>428</v>
      </c>
      <c r="D592" t="s">
        <v>62</v>
      </c>
      <c r="E592" t="s">
        <v>28</v>
      </c>
      <c r="F592">
        <v>3</v>
      </c>
      <c r="G592">
        <v>250</v>
      </c>
      <c r="H592">
        <v>750</v>
      </c>
      <c r="I592">
        <v>110</v>
      </c>
      <c r="J592">
        <v>330</v>
      </c>
      <c r="K592">
        <v>420</v>
      </c>
      <c r="L592" t="s">
        <v>86</v>
      </c>
      <c r="M592" t="s">
        <v>30</v>
      </c>
      <c r="N592" t="s">
        <v>90</v>
      </c>
      <c r="O592">
        <v>36.46</v>
      </c>
      <c r="P592">
        <v>20.45</v>
      </c>
      <c r="Q592">
        <v>18.68</v>
      </c>
      <c r="R592">
        <v>28.38</v>
      </c>
      <c r="S592">
        <v>2.17</v>
      </c>
      <c r="T592">
        <v>11.35</v>
      </c>
      <c r="U592">
        <v>7.54</v>
      </c>
      <c r="V592">
        <v>0.79</v>
      </c>
      <c r="W592">
        <v>294.18</v>
      </c>
      <c r="X592" t="s">
        <v>66</v>
      </c>
      <c r="Y592" t="s">
        <v>40</v>
      </c>
    </row>
    <row r="593" spans="1:25" x14ac:dyDescent="0.3">
      <c r="A593">
        <v>592</v>
      </c>
      <c r="B593" t="s">
        <v>346</v>
      </c>
      <c r="C593" t="s">
        <v>514</v>
      </c>
      <c r="D593" t="s">
        <v>54</v>
      </c>
      <c r="E593" t="s">
        <v>28</v>
      </c>
      <c r="F593">
        <v>4</v>
      </c>
      <c r="G593">
        <v>120</v>
      </c>
      <c r="H593">
        <v>480</v>
      </c>
      <c r="I593">
        <v>50</v>
      </c>
      <c r="J593">
        <v>200</v>
      </c>
      <c r="K593">
        <v>280</v>
      </c>
      <c r="L593" t="s">
        <v>55</v>
      </c>
      <c r="M593" t="s">
        <v>30</v>
      </c>
      <c r="N593" t="s">
        <v>39</v>
      </c>
      <c r="O593">
        <v>23.49</v>
      </c>
      <c r="P593">
        <v>50.8</v>
      </c>
      <c r="Q593">
        <v>16.34</v>
      </c>
      <c r="R593">
        <v>12.57</v>
      </c>
      <c r="S593">
        <v>2.2000000000000002</v>
      </c>
      <c r="T593">
        <v>13.7</v>
      </c>
      <c r="U593">
        <v>5.76</v>
      </c>
      <c r="V593">
        <v>1.17</v>
      </c>
      <c r="W593">
        <v>153.97</v>
      </c>
      <c r="X593" t="s">
        <v>66</v>
      </c>
      <c r="Y593" t="s">
        <v>40</v>
      </c>
    </row>
    <row r="594" spans="1:25" x14ac:dyDescent="0.3">
      <c r="A594">
        <v>593</v>
      </c>
      <c r="B594" t="s">
        <v>515</v>
      </c>
      <c r="C594" t="s">
        <v>94</v>
      </c>
      <c r="D594" t="s">
        <v>54</v>
      </c>
      <c r="E594" t="s">
        <v>28</v>
      </c>
      <c r="F594">
        <v>3</v>
      </c>
      <c r="G594">
        <v>120</v>
      </c>
      <c r="H594">
        <v>360</v>
      </c>
      <c r="I594">
        <v>50</v>
      </c>
      <c r="J594">
        <v>150</v>
      </c>
      <c r="K594">
        <v>210</v>
      </c>
      <c r="L594" t="s">
        <v>29</v>
      </c>
      <c r="M594" t="s">
        <v>45</v>
      </c>
      <c r="N594" t="s">
        <v>39</v>
      </c>
      <c r="O594">
        <v>37.909999999999997</v>
      </c>
      <c r="P594">
        <v>18.260000000000002</v>
      </c>
      <c r="Q594">
        <v>8.36</v>
      </c>
      <c r="R594">
        <v>8.99</v>
      </c>
      <c r="S594">
        <v>2.0099999999999998</v>
      </c>
      <c r="T594">
        <v>7.54</v>
      </c>
      <c r="U594">
        <v>5</v>
      </c>
      <c r="V594">
        <v>0.16</v>
      </c>
      <c r="W594">
        <v>121.77</v>
      </c>
      <c r="X594" t="s">
        <v>66</v>
      </c>
      <c r="Y594" t="s">
        <v>40</v>
      </c>
    </row>
    <row r="595" spans="1:25" x14ac:dyDescent="0.3">
      <c r="A595">
        <v>594</v>
      </c>
      <c r="B595" t="s">
        <v>103</v>
      </c>
      <c r="C595" t="s">
        <v>343</v>
      </c>
      <c r="D595" t="s">
        <v>27</v>
      </c>
      <c r="E595" t="s">
        <v>28</v>
      </c>
      <c r="F595">
        <v>3</v>
      </c>
      <c r="G595">
        <v>200</v>
      </c>
      <c r="H595">
        <v>600</v>
      </c>
      <c r="I595">
        <v>90</v>
      </c>
      <c r="J595">
        <v>270</v>
      </c>
      <c r="K595">
        <v>330</v>
      </c>
      <c r="L595" t="s">
        <v>55</v>
      </c>
      <c r="M595" t="s">
        <v>30</v>
      </c>
      <c r="N595" t="s">
        <v>90</v>
      </c>
      <c r="O595">
        <v>21.98</v>
      </c>
      <c r="P595">
        <v>26.28</v>
      </c>
      <c r="Q595">
        <v>11.43</v>
      </c>
      <c r="R595">
        <v>10.27</v>
      </c>
      <c r="S595">
        <v>0.63</v>
      </c>
      <c r="T595">
        <v>6.42</v>
      </c>
      <c r="U595">
        <v>3.45</v>
      </c>
      <c r="V595">
        <v>2.92</v>
      </c>
      <c r="W595">
        <v>246.62</v>
      </c>
      <c r="X595" t="s">
        <v>32</v>
      </c>
      <c r="Y595" t="s">
        <v>40</v>
      </c>
    </row>
    <row r="596" spans="1:25" x14ac:dyDescent="0.3">
      <c r="A596">
        <v>595</v>
      </c>
      <c r="B596" t="s">
        <v>414</v>
      </c>
      <c r="C596" t="s">
        <v>516</v>
      </c>
      <c r="D596" t="s">
        <v>62</v>
      </c>
      <c r="E596" t="s">
        <v>28</v>
      </c>
      <c r="F596">
        <v>3</v>
      </c>
      <c r="G596">
        <v>250</v>
      </c>
      <c r="H596">
        <v>750</v>
      </c>
      <c r="I596">
        <v>110</v>
      </c>
      <c r="J596">
        <v>330</v>
      </c>
      <c r="K596">
        <v>420</v>
      </c>
      <c r="L596" t="s">
        <v>29</v>
      </c>
      <c r="M596" t="s">
        <v>63</v>
      </c>
      <c r="N596" t="s">
        <v>81</v>
      </c>
      <c r="O596">
        <v>10.87</v>
      </c>
      <c r="P596">
        <v>18.440000000000001</v>
      </c>
      <c r="Q596">
        <v>13.23</v>
      </c>
      <c r="R596">
        <v>19.260000000000002</v>
      </c>
      <c r="S596">
        <v>1.84</v>
      </c>
      <c r="T596">
        <v>12.38</v>
      </c>
      <c r="U596">
        <v>1.87</v>
      </c>
      <c r="V596">
        <v>1.61</v>
      </c>
      <c r="W596">
        <v>340.5</v>
      </c>
      <c r="X596" t="s">
        <v>66</v>
      </c>
      <c r="Y596" t="s">
        <v>33</v>
      </c>
    </row>
    <row r="597" spans="1:25" x14ac:dyDescent="0.3">
      <c r="A597">
        <v>596</v>
      </c>
      <c r="B597" t="s">
        <v>365</v>
      </c>
      <c r="C597" t="s">
        <v>102</v>
      </c>
      <c r="D597" t="s">
        <v>36</v>
      </c>
      <c r="E597" t="s">
        <v>28</v>
      </c>
      <c r="F597">
        <v>1</v>
      </c>
      <c r="G597">
        <v>220</v>
      </c>
      <c r="H597">
        <v>220</v>
      </c>
      <c r="I597">
        <v>100</v>
      </c>
      <c r="J597">
        <v>100</v>
      </c>
      <c r="K597">
        <v>120</v>
      </c>
      <c r="L597" t="s">
        <v>55</v>
      </c>
      <c r="M597" t="s">
        <v>63</v>
      </c>
      <c r="N597" t="s">
        <v>46</v>
      </c>
      <c r="O597">
        <v>30.82</v>
      </c>
      <c r="P597">
        <v>42.78</v>
      </c>
      <c r="Q597">
        <v>7.89</v>
      </c>
      <c r="R597">
        <v>7.04</v>
      </c>
      <c r="S597">
        <v>2.59</v>
      </c>
      <c r="T597">
        <v>7.63</v>
      </c>
      <c r="U597">
        <v>7.46</v>
      </c>
      <c r="V597">
        <v>1.41</v>
      </c>
      <c r="W597">
        <v>12.38</v>
      </c>
      <c r="X597" t="s">
        <v>66</v>
      </c>
      <c r="Y597" t="s">
        <v>40</v>
      </c>
    </row>
    <row r="598" spans="1:25" x14ac:dyDescent="0.3">
      <c r="A598">
        <v>597</v>
      </c>
      <c r="B598" t="s">
        <v>34</v>
      </c>
      <c r="C598" t="s">
        <v>321</v>
      </c>
      <c r="D598" t="s">
        <v>27</v>
      </c>
      <c r="E598" t="s">
        <v>28</v>
      </c>
      <c r="F598">
        <v>4</v>
      </c>
      <c r="G598">
        <v>200</v>
      </c>
      <c r="H598">
        <v>800</v>
      </c>
      <c r="I598">
        <v>90</v>
      </c>
      <c r="J598">
        <v>360</v>
      </c>
      <c r="K598">
        <v>440</v>
      </c>
      <c r="L598" t="s">
        <v>44</v>
      </c>
      <c r="M598" t="s">
        <v>30</v>
      </c>
      <c r="N598" t="s">
        <v>90</v>
      </c>
      <c r="O598">
        <v>25.88</v>
      </c>
      <c r="P598">
        <v>19.760000000000002</v>
      </c>
      <c r="Q598">
        <v>15.97</v>
      </c>
      <c r="R598">
        <v>5.28</v>
      </c>
      <c r="S598">
        <v>3.79</v>
      </c>
      <c r="T598">
        <v>14.48</v>
      </c>
      <c r="U598">
        <v>7.52</v>
      </c>
      <c r="V598">
        <v>1.54</v>
      </c>
      <c r="W598">
        <v>345.78</v>
      </c>
      <c r="X598" t="s">
        <v>57</v>
      </c>
      <c r="Y598" t="s">
        <v>33</v>
      </c>
    </row>
    <row r="599" spans="1:25" x14ac:dyDescent="0.3">
      <c r="A599">
        <v>598</v>
      </c>
      <c r="B599" t="s">
        <v>301</v>
      </c>
      <c r="C599" t="s">
        <v>339</v>
      </c>
      <c r="D599" t="s">
        <v>43</v>
      </c>
      <c r="E599" t="s">
        <v>43</v>
      </c>
      <c r="F599">
        <v>3</v>
      </c>
      <c r="G599">
        <v>80</v>
      </c>
      <c r="H599">
        <v>240</v>
      </c>
      <c r="I599">
        <v>30</v>
      </c>
      <c r="J599">
        <v>90</v>
      </c>
      <c r="K599">
        <v>150</v>
      </c>
      <c r="L599" t="s">
        <v>86</v>
      </c>
      <c r="M599" t="s">
        <v>56</v>
      </c>
      <c r="N599" t="s">
        <v>31</v>
      </c>
      <c r="O599">
        <v>32.08</v>
      </c>
      <c r="P599">
        <v>49.41</v>
      </c>
      <c r="Q599">
        <v>13.11</v>
      </c>
      <c r="R599">
        <v>20.25</v>
      </c>
      <c r="S599">
        <v>4.5199999999999996</v>
      </c>
      <c r="T599">
        <v>7.41</v>
      </c>
      <c r="U599">
        <v>5.22</v>
      </c>
      <c r="V599">
        <v>1.7</v>
      </c>
      <c r="W599">
        <v>16.3</v>
      </c>
      <c r="X599" t="s">
        <v>32</v>
      </c>
      <c r="Y599" t="s">
        <v>33</v>
      </c>
    </row>
    <row r="600" spans="1:25" x14ac:dyDescent="0.3">
      <c r="A600">
        <v>599</v>
      </c>
      <c r="B600" t="s">
        <v>281</v>
      </c>
      <c r="C600" t="s">
        <v>441</v>
      </c>
      <c r="D600" t="s">
        <v>27</v>
      </c>
      <c r="E600" t="s">
        <v>28</v>
      </c>
      <c r="F600">
        <v>4</v>
      </c>
      <c r="G600">
        <v>200</v>
      </c>
      <c r="H600">
        <v>800</v>
      </c>
      <c r="I600">
        <v>90</v>
      </c>
      <c r="J600">
        <v>360</v>
      </c>
      <c r="K600">
        <v>440</v>
      </c>
      <c r="L600" t="s">
        <v>29</v>
      </c>
      <c r="M600" t="s">
        <v>38</v>
      </c>
      <c r="N600" t="s">
        <v>39</v>
      </c>
      <c r="O600">
        <v>39.15</v>
      </c>
      <c r="P600">
        <v>35.75</v>
      </c>
      <c r="Q600">
        <v>12.15</v>
      </c>
      <c r="R600">
        <v>13.36</v>
      </c>
      <c r="S600">
        <v>2.68</v>
      </c>
      <c r="T600">
        <v>5.58</v>
      </c>
      <c r="U600">
        <v>7.69</v>
      </c>
      <c r="V600">
        <v>1.76</v>
      </c>
      <c r="W600">
        <v>321.88</v>
      </c>
      <c r="X600" t="s">
        <v>32</v>
      </c>
      <c r="Y600" t="s">
        <v>40</v>
      </c>
    </row>
    <row r="601" spans="1:25" x14ac:dyDescent="0.3">
      <c r="A601">
        <v>600</v>
      </c>
      <c r="B601" t="s">
        <v>281</v>
      </c>
      <c r="C601" t="s">
        <v>480</v>
      </c>
      <c r="D601" t="s">
        <v>36</v>
      </c>
      <c r="E601" t="s">
        <v>28</v>
      </c>
      <c r="F601">
        <v>3</v>
      </c>
      <c r="G601">
        <v>220</v>
      </c>
      <c r="H601">
        <v>660</v>
      </c>
      <c r="I601">
        <v>100</v>
      </c>
      <c r="J601">
        <v>300</v>
      </c>
      <c r="K601">
        <v>360</v>
      </c>
      <c r="L601" t="s">
        <v>44</v>
      </c>
      <c r="M601" t="s">
        <v>63</v>
      </c>
      <c r="N601" t="s">
        <v>31</v>
      </c>
      <c r="O601">
        <v>34.42</v>
      </c>
      <c r="P601">
        <v>57.63</v>
      </c>
      <c r="Q601">
        <v>8.5500000000000007</v>
      </c>
      <c r="R601">
        <v>9.68</v>
      </c>
      <c r="S601">
        <v>0.9</v>
      </c>
      <c r="T601">
        <v>3.92</v>
      </c>
      <c r="U601">
        <v>3.09</v>
      </c>
      <c r="V601">
        <v>2.96</v>
      </c>
      <c r="W601">
        <v>238.85</v>
      </c>
      <c r="X601" t="s">
        <v>57</v>
      </c>
      <c r="Y601" t="s">
        <v>33</v>
      </c>
    </row>
    <row r="602" spans="1:25" x14ac:dyDescent="0.3">
      <c r="A602">
        <v>601</v>
      </c>
      <c r="B602" t="s">
        <v>277</v>
      </c>
      <c r="C602" t="s">
        <v>185</v>
      </c>
      <c r="D602" t="s">
        <v>62</v>
      </c>
      <c r="E602" t="s">
        <v>28</v>
      </c>
      <c r="F602">
        <v>2</v>
      </c>
      <c r="G602">
        <v>250</v>
      </c>
      <c r="H602">
        <v>500</v>
      </c>
      <c r="I602">
        <v>110</v>
      </c>
      <c r="J602">
        <v>220</v>
      </c>
      <c r="K602">
        <v>280</v>
      </c>
      <c r="L602" t="s">
        <v>37</v>
      </c>
      <c r="M602" t="s">
        <v>30</v>
      </c>
      <c r="N602" t="s">
        <v>81</v>
      </c>
      <c r="O602">
        <v>22.22</v>
      </c>
      <c r="P602">
        <v>39.04</v>
      </c>
      <c r="Q602">
        <v>13.99</v>
      </c>
      <c r="R602">
        <v>34.479999999999997</v>
      </c>
      <c r="S602">
        <v>2.1</v>
      </c>
      <c r="T602">
        <v>13.52</v>
      </c>
      <c r="U602">
        <v>1.18</v>
      </c>
      <c r="V602">
        <v>2.0499999999999998</v>
      </c>
      <c r="W602">
        <v>151.41999999999999</v>
      </c>
      <c r="X602" t="s">
        <v>32</v>
      </c>
      <c r="Y602" t="s">
        <v>33</v>
      </c>
    </row>
    <row r="603" spans="1:25" x14ac:dyDescent="0.3">
      <c r="A603">
        <v>602</v>
      </c>
      <c r="B603" t="s">
        <v>147</v>
      </c>
      <c r="C603" t="s">
        <v>276</v>
      </c>
      <c r="D603" t="s">
        <v>109</v>
      </c>
      <c r="E603" t="s">
        <v>50</v>
      </c>
      <c r="F603">
        <v>2</v>
      </c>
      <c r="G603">
        <v>150</v>
      </c>
      <c r="H603">
        <v>300</v>
      </c>
      <c r="I603">
        <v>70</v>
      </c>
      <c r="J603">
        <v>140</v>
      </c>
      <c r="K603">
        <v>160</v>
      </c>
      <c r="L603" t="s">
        <v>55</v>
      </c>
      <c r="M603" t="s">
        <v>38</v>
      </c>
      <c r="N603" t="s">
        <v>39</v>
      </c>
      <c r="O603">
        <v>22.48</v>
      </c>
      <c r="P603">
        <v>40.159999999999997</v>
      </c>
      <c r="Q603">
        <v>10.86</v>
      </c>
      <c r="R603">
        <v>21.62</v>
      </c>
      <c r="S603">
        <v>1.49</v>
      </c>
      <c r="T603">
        <v>2.0299999999999998</v>
      </c>
      <c r="U603">
        <v>6.18</v>
      </c>
      <c r="V603">
        <v>0.94</v>
      </c>
      <c r="W603">
        <v>54.24</v>
      </c>
      <c r="X603" t="s">
        <v>66</v>
      </c>
      <c r="Y603" t="s">
        <v>33</v>
      </c>
    </row>
    <row r="604" spans="1:25" x14ac:dyDescent="0.3">
      <c r="A604">
        <v>603</v>
      </c>
      <c r="B604" t="s">
        <v>247</v>
      </c>
      <c r="C604" t="s">
        <v>418</v>
      </c>
      <c r="D604" t="s">
        <v>49</v>
      </c>
      <c r="E604" t="s">
        <v>50</v>
      </c>
      <c r="F604">
        <v>2</v>
      </c>
      <c r="G604">
        <v>180</v>
      </c>
      <c r="H604">
        <v>360</v>
      </c>
      <c r="I604">
        <v>90</v>
      </c>
      <c r="J604">
        <v>180</v>
      </c>
      <c r="K604">
        <v>180</v>
      </c>
      <c r="L604" t="s">
        <v>86</v>
      </c>
      <c r="M604" t="s">
        <v>56</v>
      </c>
      <c r="N604" t="s">
        <v>51</v>
      </c>
      <c r="O604">
        <v>14.7</v>
      </c>
      <c r="P604">
        <v>48.37</v>
      </c>
      <c r="Q604">
        <v>7.16</v>
      </c>
      <c r="R604">
        <v>29.26</v>
      </c>
      <c r="S604">
        <v>0.76</v>
      </c>
      <c r="T604">
        <v>6.84</v>
      </c>
      <c r="U604">
        <v>1.4</v>
      </c>
      <c r="V604">
        <v>0.72</v>
      </c>
      <c r="W604">
        <v>70.790000000000006</v>
      </c>
      <c r="X604" t="s">
        <v>57</v>
      </c>
      <c r="Y604" t="s">
        <v>33</v>
      </c>
    </row>
    <row r="605" spans="1:25" x14ac:dyDescent="0.3">
      <c r="A605">
        <v>604</v>
      </c>
      <c r="B605" t="s">
        <v>170</v>
      </c>
      <c r="C605" t="s">
        <v>136</v>
      </c>
      <c r="D605" t="s">
        <v>89</v>
      </c>
      <c r="E605" t="s">
        <v>28</v>
      </c>
      <c r="F605">
        <v>4</v>
      </c>
      <c r="G605">
        <v>180</v>
      </c>
      <c r="H605">
        <v>720</v>
      </c>
      <c r="I605">
        <v>75</v>
      </c>
      <c r="J605">
        <v>300</v>
      </c>
      <c r="K605">
        <v>420</v>
      </c>
      <c r="L605" t="s">
        <v>55</v>
      </c>
      <c r="M605" t="s">
        <v>45</v>
      </c>
      <c r="N605" t="s">
        <v>81</v>
      </c>
      <c r="O605">
        <v>30.36</v>
      </c>
      <c r="P605">
        <v>20.23</v>
      </c>
      <c r="Q605">
        <v>14.02</v>
      </c>
      <c r="R605">
        <v>2.58</v>
      </c>
      <c r="S605">
        <v>0.91</v>
      </c>
      <c r="T605">
        <v>5.93</v>
      </c>
      <c r="U605">
        <v>2.4700000000000002</v>
      </c>
      <c r="V605">
        <v>2.08</v>
      </c>
      <c r="W605">
        <v>341.42</v>
      </c>
      <c r="X605" t="s">
        <v>66</v>
      </c>
      <c r="Y605" t="s">
        <v>33</v>
      </c>
    </row>
    <row r="606" spans="1:25" x14ac:dyDescent="0.3">
      <c r="A606">
        <v>605</v>
      </c>
      <c r="B606" t="s">
        <v>41</v>
      </c>
      <c r="C606" t="s">
        <v>96</v>
      </c>
      <c r="D606" t="s">
        <v>43</v>
      </c>
      <c r="E606" t="s">
        <v>43</v>
      </c>
      <c r="F606">
        <v>3</v>
      </c>
      <c r="G606">
        <v>80</v>
      </c>
      <c r="H606">
        <v>240</v>
      </c>
      <c r="I606">
        <v>30</v>
      </c>
      <c r="J606">
        <v>90</v>
      </c>
      <c r="K606">
        <v>150</v>
      </c>
      <c r="L606" t="s">
        <v>44</v>
      </c>
      <c r="M606" t="s">
        <v>56</v>
      </c>
      <c r="N606" t="s">
        <v>51</v>
      </c>
      <c r="O606">
        <v>15.73</v>
      </c>
      <c r="P606">
        <v>36.07</v>
      </c>
      <c r="Q606">
        <v>19.489999999999998</v>
      </c>
      <c r="R606">
        <v>5.55</v>
      </c>
      <c r="S606">
        <v>1.69</v>
      </c>
      <c r="T606">
        <v>12.67</v>
      </c>
      <c r="U606">
        <v>5.0599999999999996</v>
      </c>
      <c r="V606">
        <v>1.71</v>
      </c>
      <c r="W606">
        <v>52.03</v>
      </c>
      <c r="X606" t="s">
        <v>66</v>
      </c>
      <c r="Y606" t="s">
        <v>40</v>
      </c>
    </row>
    <row r="607" spans="1:25" x14ac:dyDescent="0.3">
      <c r="A607">
        <v>606</v>
      </c>
      <c r="B607" t="s">
        <v>67</v>
      </c>
      <c r="C607" t="s">
        <v>510</v>
      </c>
      <c r="D607" t="s">
        <v>36</v>
      </c>
      <c r="E607" t="s">
        <v>28</v>
      </c>
      <c r="F607">
        <v>2</v>
      </c>
      <c r="G607">
        <v>220</v>
      </c>
      <c r="H607">
        <v>440</v>
      </c>
      <c r="I607">
        <v>100</v>
      </c>
      <c r="J607">
        <v>200</v>
      </c>
      <c r="K607">
        <v>240</v>
      </c>
      <c r="L607" t="s">
        <v>44</v>
      </c>
      <c r="M607" t="s">
        <v>30</v>
      </c>
      <c r="N607" t="s">
        <v>31</v>
      </c>
      <c r="O607">
        <v>30.84</v>
      </c>
      <c r="P607">
        <v>26.03</v>
      </c>
      <c r="Q607">
        <v>10.97</v>
      </c>
      <c r="R607">
        <v>9.6999999999999993</v>
      </c>
      <c r="S607">
        <v>2.35</v>
      </c>
      <c r="T607">
        <v>6.36</v>
      </c>
      <c r="U607">
        <v>5.5</v>
      </c>
      <c r="V607">
        <v>2.84</v>
      </c>
      <c r="W607">
        <v>145.41</v>
      </c>
      <c r="X607" t="s">
        <v>66</v>
      </c>
      <c r="Y607" t="s">
        <v>33</v>
      </c>
    </row>
    <row r="608" spans="1:25" x14ac:dyDescent="0.3">
      <c r="A608">
        <v>607</v>
      </c>
      <c r="B608" t="s">
        <v>491</v>
      </c>
      <c r="C608" t="s">
        <v>403</v>
      </c>
      <c r="D608" t="s">
        <v>27</v>
      </c>
      <c r="E608" t="s">
        <v>28</v>
      </c>
      <c r="F608">
        <v>4</v>
      </c>
      <c r="G608">
        <v>200</v>
      </c>
      <c r="H608">
        <v>800</v>
      </c>
      <c r="I608">
        <v>90</v>
      </c>
      <c r="J608">
        <v>360</v>
      </c>
      <c r="K608">
        <v>440</v>
      </c>
      <c r="L608" t="s">
        <v>29</v>
      </c>
      <c r="M608" t="s">
        <v>30</v>
      </c>
      <c r="N608" t="s">
        <v>39</v>
      </c>
      <c r="O608">
        <v>30.27</v>
      </c>
      <c r="P608">
        <v>44.39</v>
      </c>
      <c r="Q608">
        <v>18.39</v>
      </c>
      <c r="R608">
        <v>18.100000000000001</v>
      </c>
      <c r="S608">
        <v>3.85</v>
      </c>
      <c r="T608">
        <v>13.23</v>
      </c>
      <c r="U608">
        <v>5.89</v>
      </c>
      <c r="V608">
        <v>1.9</v>
      </c>
      <c r="W608">
        <v>303.98</v>
      </c>
      <c r="X608" t="s">
        <v>66</v>
      </c>
      <c r="Y608" t="s">
        <v>40</v>
      </c>
    </row>
    <row r="609" spans="1:25" x14ac:dyDescent="0.3">
      <c r="A609">
        <v>608</v>
      </c>
      <c r="B609" t="s">
        <v>159</v>
      </c>
      <c r="C609" t="s">
        <v>212</v>
      </c>
      <c r="D609" t="s">
        <v>43</v>
      </c>
      <c r="E609" t="s">
        <v>43</v>
      </c>
      <c r="F609">
        <v>3</v>
      </c>
      <c r="G609">
        <v>80</v>
      </c>
      <c r="H609">
        <v>240</v>
      </c>
      <c r="I609">
        <v>30</v>
      </c>
      <c r="J609">
        <v>90</v>
      </c>
      <c r="K609">
        <v>150</v>
      </c>
      <c r="L609" t="s">
        <v>44</v>
      </c>
      <c r="M609" t="s">
        <v>30</v>
      </c>
      <c r="N609" t="s">
        <v>90</v>
      </c>
      <c r="O609">
        <v>22.33</v>
      </c>
      <c r="P609">
        <v>43.25</v>
      </c>
      <c r="Q609">
        <v>16.27</v>
      </c>
      <c r="R609">
        <v>13.82</v>
      </c>
      <c r="S609">
        <v>3.53</v>
      </c>
      <c r="T609">
        <v>2.2400000000000002</v>
      </c>
      <c r="U609">
        <v>2.59</v>
      </c>
      <c r="V609">
        <v>2.4</v>
      </c>
      <c r="W609">
        <v>43.57</v>
      </c>
      <c r="X609" t="s">
        <v>32</v>
      </c>
      <c r="Y609" t="s">
        <v>33</v>
      </c>
    </row>
    <row r="610" spans="1:25" x14ac:dyDescent="0.3">
      <c r="A610">
        <v>609</v>
      </c>
      <c r="B610" t="s">
        <v>134</v>
      </c>
      <c r="C610" t="s">
        <v>470</v>
      </c>
      <c r="D610" t="s">
        <v>27</v>
      </c>
      <c r="E610" t="s">
        <v>28</v>
      </c>
      <c r="F610">
        <v>2</v>
      </c>
      <c r="G610">
        <v>200</v>
      </c>
      <c r="H610">
        <v>400</v>
      </c>
      <c r="I610">
        <v>90</v>
      </c>
      <c r="J610">
        <v>180</v>
      </c>
      <c r="K610">
        <v>220</v>
      </c>
      <c r="L610" t="s">
        <v>86</v>
      </c>
      <c r="M610" t="s">
        <v>38</v>
      </c>
      <c r="N610" t="s">
        <v>39</v>
      </c>
      <c r="O610">
        <v>22.77</v>
      </c>
      <c r="P610">
        <v>38.36</v>
      </c>
      <c r="Q610">
        <v>19.84</v>
      </c>
      <c r="R610">
        <v>14.95</v>
      </c>
      <c r="S610">
        <v>0.57999999999999996</v>
      </c>
      <c r="T610">
        <v>4.1900000000000004</v>
      </c>
      <c r="U610">
        <v>5.85</v>
      </c>
      <c r="V610">
        <v>2.61</v>
      </c>
      <c r="W610">
        <v>110.85</v>
      </c>
      <c r="X610" t="s">
        <v>66</v>
      </c>
      <c r="Y610" t="s">
        <v>33</v>
      </c>
    </row>
    <row r="611" spans="1:25" x14ac:dyDescent="0.3">
      <c r="A611">
        <v>610</v>
      </c>
      <c r="B611" t="s">
        <v>115</v>
      </c>
      <c r="C611" t="s">
        <v>163</v>
      </c>
      <c r="D611" t="s">
        <v>62</v>
      </c>
      <c r="E611" t="s">
        <v>28</v>
      </c>
      <c r="F611">
        <v>1</v>
      </c>
      <c r="G611">
        <v>250</v>
      </c>
      <c r="H611">
        <v>250</v>
      </c>
      <c r="I611">
        <v>110</v>
      </c>
      <c r="J611">
        <v>110</v>
      </c>
      <c r="K611">
        <v>140</v>
      </c>
      <c r="L611" t="s">
        <v>55</v>
      </c>
      <c r="M611" t="s">
        <v>56</v>
      </c>
      <c r="N611" t="s">
        <v>81</v>
      </c>
      <c r="O611">
        <v>15.23</v>
      </c>
      <c r="P611">
        <v>45.4</v>
      </c>
      <c r="Q611">
        <v>14.2</v>
      </c>
      <c r="R611">
        <v>34.89</v>
      </c>
      <c r="S611">
        <v>1.29</v>
      </c>
      <c r="T611">
        <v>3.45</v>
      </c>
      <c r="U611">
        <v>1.23</v>
      </c>
      <c r="V611">
        <v>0.04</v>
      </c>
      <c r="W611">
        <v>24.27</v>
      </c>
      <c r="X611" t="s">
        <v>57</v>
      </c>
      <c r="Y611" t="s">
        <v>40</v>
      </c>
    </row>
    <row r="612" spans="1:25" x14ac:dyDescent="0.3">
      <c r="A612">
        <v>611</v>
      </c>
      <c r="B612" t="s">
        <v>182</v>
      </c>
      <c r="C612" t="s">
        <v>294</v>
      </c>
      <c r="D612" t="s">
        <v>89</v>
      </c>
      <c r="E612" t="s">
        <v>28</v>
      </c>
      <c r="F612">
        <v>4</v>
      </c>
      <c r="G612">
        <v>180</v>
      </c>
      <c r="H612">
        <v>720</v>
      </c>
      <c r="I612">
        <v>75</v>
      </c>
      <c r="J612">
        <v>300</v>
      </c>
      <c r="K612">
        <v>420</v>
      </c>
      <c r="L612" t="s">
        <v>37</v>
      </c>
      <c r="M612" t="s">
        <v>45</v>
      </c>
      <c r="N612" t="s">
        <v>51</v>
      </c>
      <c r="O612">
        <v>28.83</v>
      </c>
      <c r="P612">
        <v>30.97</v>
      </c>
      <c r="Q612">
        <v>9.52</v>
      </c>
      <c r="R612">
        <v>20.12</v>
      </c>
      <c r="S612">
        <v>0.11</v>
      </c>
      <c r="T612">
        <v>8.23</v>
      </c>
      <c r="U612">
        <v>2.37</v>
      </c>
      <c r="V612">
        <v>0.72</v>
      </c>
      <c r="W612">
        <v>319.13</v>
      </c>
      <c r="X612" t="s">
        <v>57</v>
      </c>
      <c r="Y612" t="s">
        <v>40</v>
      </c>
    </row>
    <row r="613" spans="1:25" x14ac:dyDescent="0.3">
      <c r="A613">
        <v>612</v>
      </c>
      <c r="B613" t="s">
        <v>298</v>
      </c>
      <c r="C613" t="s">
        <v>274</v>
      </c>
      <c r="D613" t="s">
        <v>36</v>
      </c>
      <c r="E613" t="s">
        <v>28</v>
      </c>
      <c r="F613">
        <v>4</v>
      </c>
      <c r="G613">
        <v>220</v>
      </c>
      <c r="H613">
        <v>880</v>
      </c>
      <c r="I613">
        <v>100</v>
      </c>
      <c r="J613">
        <v>400</v>
      </c>
      <c r="K613">
        <v>480</v>
      </c>
      <c r="L613" t="s">
        <v>86</v>
      </c>
      <c r="M613" t="s">
        <v>38</v>
      </c>
      <c r="N613" t="s">
        <v>51</v>
      </c>
      <c r="O613">
        <v>12.82</v>
      </c>
      <c r="P613">
        <v>44.35</v>
      </c>
      <c r="Q613">
        <v>7.53</v>
      </c>
      <c r="R613">
        <v>4.41</v>
      </c>
      <c r="S613">
        <v>0.54</v>
      </c>
      <c r="T613">
        <v>11.85</v>
      </c>
      <c r="U613">
        <v>2.46</v>
      </c>
      <c r="V613">
        <v>2.35</v>
      </c>
      <c r="W613">
        <v>393.69</v>
      </c>
      <c r="X613" t="s">
        <v>57</v>
      </c>
      <c r="Y613" t="s">
        <v>33</v>
      </c>
    </row>
    <row r="614" spans="1:25" x14ac:dyDescent="0.3">
      <c r="A614">
        <v>613</v>
      </c>
      <c r="B614" t="s">
        <v>130</v>
      </c>
      <c r="C614" t="s">
        <v>323</v>
      </c>
      <c r="D614" t="s">
        <v>43</v>
      </c>
      <c r="E614" t="s">
        <v>43</v>
      </c>
      <c r="F614">
        <v>3</v>
      </c>
      <c r="G614">
        <v>80</v>
      </c>
      <c r="H614">
        <v>240</v>
      </c>
      <c r="I614">
        <v>30</v>
      </c>
      <c r="J614">
        <v>90</v>
      </c>
      <c r="K614">
        <v>150</v>
      </c>
      <c r="L614" t="s">
        <v>29</v>
      </c>
      <c r="M614" t="s">
        <v>56</v>
      </c>
      <c r="N614" t="s">
        <v>46</v>
      </c>
      <c r="O614">
        <v>10.98</v>
      </c>
      <c r="P614">
        <v>50.09</v>
      </c>
      <c r="Q614">
        <v>15.9</v>
      </c>
      <c r="R614">
        <v>3.42</v>
      </c>
      <c r="S614">
        <v>0.04</v>
      </c>
      <c r="T614">
        <v>2.82</v>
      </c>
      <c r="U614">
        <v>7.32</v>
      </c>
      <c r="V614">
        <v>1.47</v>
      </c>
      <c r="W614">
        <v>57.96</v>
      </c>
      <c r="X614" t="s">
        <v>57</v>
      </c>
      <c r="Y614" t="s">
        <v>33</v>
      </c>
    </row>
    <row r="615" spans="1:25" x14ac:dyDescent="0.3">
      <c r="A615">
        <v>614</v>
      </c>
      <c r="B615" t="s">
        <v>170</v>
      </c>
      <c r="C615" t="s">
        <v>498</v>
      </c>
      <c r="D615" t="s">
        <v>36</v>
      </c>
      <c r="E615" t="s">
        <v>28</v>
      </c>
      <c r="F615">
        <v>3</v>
      </c>
      <c r="G615">
        <v>220</v>
      </c>
      <c r="H615">
        <v>660</v>
      </c>
      <c r="I615">
        <v>100</v>
      </c>
      <c r="J615">
        <v>300</v>
      </c>
      <c r="K615">
        <v>360</v>
      </c>
      <c r="L615" t="s">
        <v>86</v>
      </c>
      <c r="M615" t="s">
        <v>38</v>
      </c>
      <c r="N615" t="s">
        <v>81</v>
      </c>
      <c r="O615">
        <v>38.68</v>
      </c>
      <c r="P615">
        <v>44.22</v>
      </c>
      <c r="Q615">
        <v>19.73</v>
      </c>
      <c r="R615">
        <v>25.01</v>
      </c>
      <c r="S615">
        <v>3.65</v>
      </c>
      <c r="T615">
        <v>12.62</v>
      </c>
      <c r="U615">
        <v>5.76</v>
      </c>
      <c r="V615">
        <v>1.68</v>
      </c>
      <c r="W615">
        <v>208.65</v>
      </c>
      <c r="X615" t="s">
        <v>32</v>
      </c>
      <c r="Y615" t="s">
        <v>33</v>
      </c>
    </row>
    <row r="616" spans="1:25" x14ac:dyDescent="0.3">
      <c r="A616">
        <v>615</v>
      </c>
      <c r="B616" t="s">
        <v>334</v>
      </c>
      <c r="C616" t="s">
        <v>517</v>
      </c>
      <c r="D616" t="s">
        <v>109</v>
      </c>
      <c r="E616" t="s">
        <v>50</v>
      </c>
      <c r="F616">
        <v>1</v>
      </c>
      <c r="G616">
        <v>150</v>
      </c>
      <c r="H616">
        <v>150</v>
      </c>
      <c r="I616">
        <v>70</v>
      </c>
      <c r="J616">
        <v>70</v>
      </c>
      <c r="K616">
        <v>80</v>
      </c>
      <c r="L616" t="s">
        <v>44</v>
      </c>
      <c r="M616" t="s">
        <v>63</v>
      </c>
      <c r="N616" t="s">
        <v>81</v>
      </c>
      <c r="O616">
        <v>35.72</v>
      </c>
      <c r="P616">
        <v>15.72</v>
      </c>
      <c r="Q616">
        <v>11.77</v>
      </c>
      <c r="R616">
        <v>34.340000000000003</v>
      </c>
      <c r="S616">
        <v>1.96</v>
      </c>
      <c r="T616">
        <v>8.2200000000000006</v>
      </c>
      <c r="U616">
        <v>2.59</v>
      </c>
      <c r="V616">
        <v>0.01</v>
      </c>
      <c r="W616">
        <v>-30.33</v>
      </c>
      <c r="X616" t="s">
        <v>57</v>
      </c>
      <c r="Y616" t="s">
        <v>33</v>
      </c>
    </row>
    <row r="617" spans="1:25" x14ac:dyDescent="0.3">
      <c r="A617">
        <v>616</v>
      </c>
      <c r="B617" t="s">
        <v>138</v>
      </c>
      <c r="C617" t="s">
        <v>112</v>
      </c>
      <c r="D617" t="s">
        <v>89</v>
      </c>
      <c r="E617" t="s">
        <v>28</v>
      </c>
      <c r="F617">
        <v>1</v>
      </c>
      <c r="G617">
        <v>180</v>
      </c>
      <c r="H617">
        <v>180</v>
      </c>
      <c r="I617">
        <v>75</v>
      </c>
      <c r="J617">
        <v>75</v>
      </c>
      <c r="K617">
        <v>105</v>
      </c>
      <c r="L617" t="s">
        <v>55</v>
      </c>
      <c r="M617" t="s">
        <v>30</v>
      </c>
      <c r="N617" t="s">
        <v>46</v>
      </c>
      <c r="O617">
        <v>27.79</v>
      </c>
      <c r="P617">
        <v>48.27</v>
      </c>
      <c r="Q617">
        <v>18.559999999999999</v>
      </c>
      <c r="R617">
        <v>33.020000000000003</v>
      </c>
      <c r="S617">
        <v>0.81</v>
      </c>
      <c r="T617">
        <v>7.25</v>
      </c>
      <c r="U617">
        <v>6.94</v>
      </c>
      <c r="V617">
        <v>2.88</v>
      </c>
      <c r="W617">
        <v>-40.520000000000003</v>
      </c>
      <c r="X617" t="s">
        <v>66</v>
      </c>
      <c r="Y617" t="s">
        <v>33</v>
      </c>
    </row>
    <row r="618" spans="1:25" x14ac:dyDescent="0.3">
      <c r="A618">
        <v>617</v>
      </c>
      <c r="B618" t="s">
        <v>356</v>
      </c>
      <c r="C618" t="s">
        <v>88</v>
      </c>
      <c r="D618" t="s">
        <v>27</v>
      </c>
      <c r="E618" t="s">
        <v>28</v>
      </c>
      <c r="F618">
        <v>3</v>
      </c>
      <c r="G618">
        <v>200</v>
      </c>
      <c r="H618">
        <v>600</v>
      </c>
      <c r="I618">
        <v>90</v>
      </c>
      <c r="J618">
        <v>270</v>
      </c>
      <c r="K618">
        <v>330</v>
      </c>
      <c r="L618" t="s">
        <v>37</v>
      </c>
      <c r="M618" t="s">
        <v>56</v>
      </c>
      <c r="N618" t="s">
        <v>81</v>
      </c>
      <c r="O618">
        <v>23.76</v>
      </c>
      <c r="P618">
        <v>21.76</v>
      </c>
      <c r="Q618">
        <v>7.55</v>
      </c>
      <c r="R618">
        <v>9.6</v>
      </c>
      <c r="S618">
        <v>4.9000000000000004</v>
      </c>
      <c r="T618">
        <v>12.22</v>
      </c>
      <c r="U618">
        <v>6.44</v>
      </c>
      <c r="V618">
        <v>2.4300000000000002</v>
      </c>
      <c r="W618">
        <v>241.34</v>
      </c>
      <c r="X618" t="s">
        <v>32</v>
      </c>
      <c r="Y618" t="s">
        <v>33</v>
      </c>
    </row>
    <row r="619" spans="1:25" x14ac:dyDescent="0.3">
      <c r="A619">
        <v>618</v>
      </c>
      <c r="B619" t="s">
        <v>475</v>
      </c>
      <c r="C619" t="s">
        <v>402</v>
      </c>
      <c r="D619" t="s">
        <v>43</v>
      </c>
      <c r="E619" t="s">
        <v>43</v>
      </c>
      <c r="F619">
        <v>4</v>
      </c>
      <c r="G619">
        <v>80</v>
      </c>
      <c r="H619">
        <v>320</v>
      </c>
      <c r="I619">
        <v>30</v>
      </c>
      <c r="J619">
        <v>120</v>
      </c>
      <c r="K619">
        <v>200</v>
      </c>
      <c r="L619" t="s">
        <v>55</v>
      </c>
      <c r="M619" t="s">
        <v>45</v>
      </c>
      <c r="N619" t="s">
        <v>51</v>
      </c>
      <c r="O619">
        <v>20.58</v>
      </c>
      <c r="P619">
        <v>16.54</v>
      </c>
      <c r="Q619">
        <v>14.71</v>
      </c>
      <c r="R619">
        <v>16.11</v>
      </c>
      <c r="S619">
        <v>0.23</v>
      </c>
      <c r="T619">
        <v>12.72</v>
      </c>
      <c r="U619">
        <v>7.77</v>
      </c>
      <c r="V619">
        <v>0.11</v>
      </c>
      <c r="W619">
        <v>111.23</v>
      </c>
      <c r="X619" t="s">
        <v>66</v>
      </c>
      <c r="Y619" t="s">
        <v>33</v>
      </c>
    </row>
    <row r="620" spans="1:25" x14ac:dyDescent="0.3">
      <c r="A620">
        <v>619</v>
      </c>
      <c r="B620" t="s">
        <v>245</v>
      </c>
      <c r="C620" t="s">
        <v>436</v>
      </c>
      <c r="D620" t="s">
        <v>27</v>
      </c>
      <c r="E620" t="s">
        <v>28</v>
      </c>
      <c r="F620">
        <v>1</v>
      </c>
      <c r="G620">
        <v>200</v>
      </c>
      <c r="H620">
        <v>200</v>
      </c>
      <c r="I620">
        <v>90</v>
      </c>
      <c r="J620">
        <v>90</v>
      </c>
      <c r="K620">
        <v>110</v>
      </c>
      <c r="L620" t="s">
        <v>29</v>
      </c>
      <c r="M620" t="s">
        <v>56</v>
      </c>
      <c r="N620" t="s">
        <v>81</v>
      </c>
      <c r="O620">
        <v>18.600000000000001</v>
      </c>
      <c r="P620">
        <v>34.619999999999997</v>
      </c>
      <c r="Q620">
        <v>8.2799999999999994</v>
      </c>
      <c r="R620">
        <v>23.95</v>
      </c>
      <c r="S620">
        <v>0.23</v>
      </c>
      <c r="T620">
        <v>2.75</v>
      </c>
      <c r="U620">
        <v>2.27</v>
      </c>
      <c r="V620">
        <v>0.71</v>
      </c>
      <c r="W620">
        <v>18.59</v>
      </c>
      <c r="X620" t="s">
        <v>66</v>
      </c>
      <c r="Y620" t="s">
        <v>33</v>
      </c>
    </row>
    <row r="621" spans="1:25" x14ac:dyDescent="0.3">
      <c r="A621">
        <v>620</v>
      </c>
      <c r="B621" t="s">
        <v>47</v>
      </c>
      <c r="C621" t="s">
        <v>381</v>
      </c>
      <c r="D621" t="s">
        <v>36</v>
      </c>
      <c r="E621" t="s">
        <v>28</v>
      </c>
      <c r="F621">
        <v>1</v>
      </c>
      <c r="G621">
        <v>220</v>
      </c>
      <c r="H621">
        <v>220</v>
      </c>
      <c r="I621">
        <v>100</v>
      </c>
      <c r="J621">
        <v>100</v>
      </c>
      <c r="K621">
        <v>120</v>
      </c>
      <c r="L621" t="s">
        <v>44</v>
      </c>
      <c r="M621" t="s">
        <v>56</v>
      </c>
      <c r="N621" t="s">
        <v>51</v>
      </c>
      <c r="O621">
        <v>16.420000000000002</v>
      </c>
      <c r="P621">
        <v>39.83</v>
      </c>
      <c r="Q621">
        <v>14.17</v>
      </c>
      <c r="R621">
        <v>8.61</v>
      </c>
      <c r="S621">
        <v>0.16</v>
      </c>
      <c r="T621">
        <v>13.79</v>
      </c>
      <c r="U621">
        <v>1.24</v>
      </c>
      <c r="V621">
        <v>2</v>
      </c>
      <c r="W621">
        <v>23.78</v>
      </c>
      <c r="X621" t="s">
        <v>66</v>
      </c>
      <c r="Y621" t="s">
        <v>33</v>
      </c>
    </row>
    <row r="622" spans="1:25" x14ac:dyDescent="0.3">
      <c r="A622">
        <v>621</v>
      </c>
      <c r="B622" t="s">
        <v>518</v>
      </c>
      <c r="C622" t="s">
        <v>412</v>
      </c>
      <c r="D622" t="s">
        <v>49</v>
      </c>
      <c r="E622" t="s">
        <v>50</v>
      </c>
      <c r="F622">
        <v>1</v>
      </c>
      <c r="G622">
        <v>180</v>
      </c>
      <c r="H622">
        <v>180</v>
      </c>
      <c r="I622">
        <v>90</v>
      </c>
      <c r="J622">
        <v>90</v>
      </c>
      <c r="K622">
        <v>90</v>
      </c>
      <c r="L622" t="s">
        <v>86</v>
      </c>
      <c r="M622" t="s">
        <v>63</v>
      </c>
      <c r="N622" t="s">
        <v>90</v>
      </c>
      <c r="O622">
        <v>18.399999999999999</v>
      </c>
      <c r="P622">
        <v>44.3</v>
      </c>
      <c r="Q622">
        <v>9.2200000000000006</v>
      </c>
      <c r="R622">
        <v>25.68</v>
      </c>
      <c r="S622">
        <v>4.68</v>
      </c>
      <c r="T622">
        <v>10.09</v>
      </c>
      <c r="U622">
        <v>4.93</v>
      </c>
      <c r="V622">
        <v>0.12</v>
      </c>
      <c r="W622">
        <v>-27.42</v>
      </c>
      <c r="X622" t="s">
        <v>57</v>
      </c>
      <c r="Y622" t="s">
        <v>40</v>
      </c>
    </row>
    <row r="623" spans="1:25" x14ac:dyDescent="0.3">
      <c r="A623">
        <v>622</v>
      </c>
      <c r="B623" t="s">
        <v>300</v>
      </c>
      <c r="C623" t="s">
        <v>519</v>
      </c>
      <c r="D623" t="s">
        <v>89</v>
      </c>
      <c r="E623" t="s">
        <v>28</v>
      </c>
      <c r="F623">
        <v>1</v>
      </c>
      <c r="G623">
        <v>180</v>
      </c>
      <c r="H623">
        <v>180</v>
      </c>
      <c r="I623">
        <v>75</v>
      </c>
      <c r="J623">
        <v>75</v>
      </c>
      <c r="K623">
        <v>105</v>
      </c>
      <c r="L623" t="s">
        <v>29</v>
      </c>
      <c r="M623" t="s">
        <v>30</v>
      </c>
      <c r="N623" t="s">
        <v>51</v>
      </c>
      <c r="O623">
        <v>34.340000000000003</v>
      </c>
      <c r="P623">
        <v>58.72</v>
      </c>
      <c r="Q623">
        <v>14.96</v>
      </c>
      <c r="R623">
        <v>0.68</v>
      </c>
      <c r="S623">
        <v>1.88</v>
      </c>
      <c r="T623">
        <v>9.56</v>
      </c>
      <c r="U623">
        <v>6.02</v>
      </c>
      <c r="V623">
        <v>1.1000000000000001</v>
      </c>
      <c r="W623">
        <v>-22.26</v>
      </c>
      <c r="X623" t="s">
        <v>32</v>
      </c>
      <c r="Y623" t="s">
        <v>33</v>
      </c>
    </row>
    <row r="624" spans="1:25" x14ac:dyDescent="0.3">
      <c r="A624">
        <v>623</v>
      </c>
      <c r="B624" t="s">
        <v>394</v>
      </c>
      <c r="C624" t="s">
        <v>384</v>
      </c>
      <c r="D624" t="s">
        <v>27</v>
      </c>
      <c r="E624" t="s">
        <v>28</v>
      </c>
      <c r="F624">
        <v>2</v>
      </c>
      <c r="G624">
        <v>200</v>
      </c>
      <c r="H624">
        <v>400</v>
      </c>
      <c r="I624">
        <v>90</v>
      </c>
      <c r="J624">
        <v>180</v>
      </c>
      <c r="K624">
        <v>220</v>
      </c>
      <c r="L624" t="s">
        <v>44</v>
      </c>
      <c r="M624" t="s">
        <v>45</v>
      </c>
      <c r="N624" t="s">
        <v>46</v>
      </c>
      <c r="O624">
        <v>39.159999999999997</v>
      </c>
      <c r="P624">
        <v>31.33</v>
      </c>
      <c r="Q624">
        <v>15.56</v>
      </c>
      <c r="R624">
        <v>22.35</v>
      </c>
      <c r="S624">
        <v>1.76</v>
      </c>
      <c r="T624">
        <v>11.23</v>
      </c>
      <c r="U624">
        <v>5.61</v>
      </c>
      <c r="V624">
        <v>1.24</v>
      </c>
      <c r="W624">
        <v>91.76</v>
      </c>
      <c r="X624" t="s">
        <v>66</v>
      </c>
      <c r="Y624" t="s">
        <v>40</v>
      </c>
    </row>
    <row r="625" spans="1:25" x14ac:dyDescent="0.3">
      <c r="A625">
        <v>624</v>
      </c>
      <c r="B625" t="s">
        <v>440</v>
      </c>
      <c r="C625" t="s">
        <v>437</v>
      </c>
      <c r="D625" t="s">
        <v>89</v>
      </c>
      <c r="E625" t="s">
        <v>28</v>
      </c>
      <c r="F625">
        <v>2</v>
      </c>
      <c r="G625">
        <v>180</v>
      </c>
      <c r="H625">
        <v>360</v>
      </c>
      <c r="I625">
        <v>75</v>
      </c>
      <c r="J625">
        <v>150</v>
      </c>
      <c r="K625">
        <v>210</v>
      </c>
      <c r="L625" t="s">
        <v>86</v>
      </c>
      <c r="M625" t="s">
        <v>56</v>
      </c>
      <c r="N625" t="s">
        <v>90</v>
      </c>
      <c r="O625">
        <v>26.08</v>
      </c>
      <c r="P625">
        <v>31.04</v>
      </c>
      <c r="Q625">
        <v>18.670000000000002</v>
      </c>
      <c r="R625">
        <v>26.62</v>
      </c>
      <c r="S625">
        <v>0.3</v>
      </c>
      <c r="T625">
        <v>8.16</v>
      </c>
      <c r="U625">
        <v>1.24</v>
      </c>
      <c r="V625">
        <v>0.93</v>
      </c>
      <c r="W625">
        <v>96.96</v>
      </c>
      <c r="X625" t="s">
        <v>57</v>
      </c>
      <c r="Y625" t="s">
        <v>33</v>
      </c>
    </row>
    <row r="626" spans="1:25" x14ac:dyDescent="0.3">
      <c r="A626">
        <v>625</v>
      </c>
      <c r="B626" t="s">
        <v>105</v>
      </c>
      <c r="C626" t="s">
        <v>72</v>
      </c>
      <c r="D626" t="s">
        <v>54</v>
      </c>
      <c r="E626" t="s">
        <v>28</v>
      </c>
      <c r="F626">
        <v>2</v>
      </c>
      <c r="G626">
        <v>120</v>
      </c>
      <c r="H626">
        <v>240</v>
      </c>
      <c r="I626">
        <v>50</v>
      </c>
      <c r="J626">
        <v>100</v>
      </c>
      <c r="K626">
        <v>140</v>
      </c>
      <c r="L626" t="s">
        <v>44</v>
      </c>
      <c r="M626" t="s">
        <v>38</v>
      </c>
      <c r="N626" t="s">
        <v>81</v>
      </c>
      <c r="O626">
        <v>29.27</v>
      </c>
      <c r="P626">
        <v>40.78</v>
      </c>
      <c r="Q626">
        <v>9.4600000000000009</v>
      </c>
      <c r="R626">
        <v>18.71</v>
      </c>
      <c r="S626">
        <v>2.67</v>
      </c>
      <c r="T626">
        <v>10.64</v>
      </c>
      <c r="U626">
        <v>4.12</v>
      </c>
      <c r="V626">
        <v>0.98</v>
      </c>
      <c r="W626">
        <v>23.37</v>
      </c>
      <c r="X626" t="s">
        <v>66</v>
      </c>
      <c r="Y626" t="s">
        <v>40</v>
      </c>
    </row>
    <row r="627" spans="1:25" x14ac:dyDescent="0.3">
      <c r="A627">
        <v>626</v>
      </c>
      <c r="B627" t="s">
        <v>383</v>
      </c>
      <c r="C627" t="s">
        <v>35</v>
      </c>
      <c r="D627" t="s">
        <v>27</v>
      </c>
      <c r="E627" t="s">
        <v>28</v>
      </c>
      <c r="F627">
        <v>4</v>
      </c>
      <c r="G627">
        <v>200</v>
      </c>
      <c r="H627">
        <v>800</v>
      </c>
      <c r="I627">
        <v>90</v>
      </c>
      <c r="J627">
        <v>360</v>
      </c>
      <c r="K627">
        <v>440</v>
      </c>
      <c r="L627" t="s">
        <v>29</v>
      </c>
      <c r="M627" t="s">
        <v>45</v>
      </c>
      <c r="N627" t="s">
        <v>39</v>
      </c>
      <c r="O627">
        <v>15.65</v>
      </c>
      <c r="P627">
        <v>36.32</v>
      </c>
      <c r="Q627">
        <v>19.27</v>
      </c>
      <c r="R627">
        <v>19.97</v>
      </c>
      <c r="S627">
        <v>3.59</v>
      </c>
      <c r="T627">
        <v>7.14</v>
      </c>
      <c r="U627">
        <v>7.26</v>
      </c>
      <c r="V627">
        <v>2.95</v>
      </c>
      <c r="W627">
        <v>327.85</v>
      </c>
      <c r="X627" t="s">
        <v>66</v>
      </c>
      <c r="Y627" t="s">
        <v>33</v>
      </c>
    </row>
    <row r="628" spans="1:25" x14ac:dyDescent="0.3">
      <c r="A628">
        <v>627</v>
      </c>
      <c r="B628" t="s">
        <v>147</v>
      </c>
      <c r="C628" t="s">
        <v>437</v>
      </c>
      <c r="D628" t="s">
        <v>36</v>
      </c>
      <c r="E628" t="s">
        <v>28</v>
      </c>
      <c r="F628">
        <v>2</v>
      </c>
      <c r="G628">
        <v>220</v>
      </c>
      <c r="H628">
        <v>440</v>
      </c>
      <c r="I628">
        <v>100</v>
      </c>
      <c r="J628">
        <v>200</v>
      </c>
      <c r="K628">
        <v>240</v>
      </c>
      <c r="L628" t="s">
        <v>44</v>
      </c>
      <c r="M628" t="s">
        <v>30</v>
      </c>
      <c r="N628" t="s">
        <v>31</v>
      </c>
      <c r="O628">
        <v>16.52</v>
      </c>
      <c r="P628">
        <v>59.81</v>
      </c>
      <c r="Q628">
        <v>17.850000000000001</v>
      </c>
      <c r="R628">
        <v>17.829999999999998</v>
      </c>
      <c r="S628">
        <v>0.15</v>
      </c>
      <c r="T628">
        <v>5.13</v>
      </c>
      <c r="U628">
        <v>6.06</v>
      </c>
      <c r="V628">
        <v>0.98</v>
      </c>
      <c r="W628">
        <v>115.67</v>
      </c>
      <c r="X628" t="s">
        <v>32</v>
      </c>
      <c r="Y628" t="s">
        <v>40</v>
      </c>
    </row>
    <row r="629" spans="1:25" x14ac:dyDescent="0.3">
      <c r="A629">
        <v>628</v>
      </c>
      <c r="B629" t="s">
        <v>99</v>
      </c>
      <c r="C629" t="s">
        <v>226</v>
      </c>
      <c r="D629" t="s">
        <v>62</v>
      </c>
      <c r="E629" t="s">
        <v>28</v>
      </c>
      <c r="F629">
        <v>2</v>
      </c>
      <c r="G629">
        <v>250</v>
      </c>
      <c r="H629">
        <v>500</v>
      </c>
      <c r="I629">
        <v>110</v>
      </c>
      <c r="J629">
        <v>220</v>
      </c>
      <c r="K629">
        <v>280</v>
      </c>
      <c r="L629" t="s">
        <v>86</v>
      </c>
      <c r="M629" t="s">
        <v>63</v>
      </c>
      <c r="N629" t="s">
        <v>39</v>
      </c>
      <c r="O629">
        <v>29.88</v>
      </c>
      <c r="P629">
        <v>26.75</v>
      </c>
      <c r="Q629">
        <v>7.73</v>
      </c>
      <c r="R629">
        <v>2.0699999999999998</v>
      </c>
      <c r="S629">
        <v>0.49</v>
      </c>
      <c r="T629">
        <v>10.050000000000001</v>
      </c>
      <c r="U629">
        <v>5.51</v>
      </c>
      <c r="V629">
        <v>1.98</v>
      </c>
      <c r="W629">
        <v>195.54</v>
      </c>
      <c r="X629" t="s">
        <v>32</v>
      </c>
      <c r="Y629" t="s">
        <v>40</v>
      </c>
    </row>
    <row r="630" spans="1:25" x14ac:dyDescent="0.3">
      <c r="A630">
        <v>629</v>
      </c>
      <c r="B630" t="s">
        <v>258</v>
      </c>
      <c r="C630" t="s">
        <v>156</v>
      </c>
      <c r="D630" t="s">
        <v>36</v>
      </c>
      <c r="E630" t="s">
        <v>28</v>
      </c>
      <c r="F630">
        <v>2</v>
      </c>
      <c r="G630">
        <v>220</v>
      </c>
      <c r="H630">
        <v>440</v>
      </c>
      <c r="I630">
        <v>100</v>
      </c>
      <c r="J630">
        <v>200</v>
      </c>
      <c r="K630">
        <v>240</v>
      </c>
      <c r="L630" t="s">
        <v>29</v>
      </c>
      <c r="M630" t="s">
        <v>63</v>
      </c>
      <c r="N630" t="s">
        <v>81</v>
      </c>
      <c r="O630">
        <v>27.71</v>
      </c>
      <c r="P630">
        <v>35.96</v>
      </c>
      <c r="Q630">
        <v>16.86</v>
      </c>
      <c r="R630">
        <v>31.14</v>
      </c>
      <c r="S630">
        <v>4.07</v>
      </c>
      <c r="T630">
        <v>2.2000000000000002</v>
      </c>
      <c r="U630">
        <v>6.4</v>
      </c>
      <c r="V630">
        <v>1.46</v>
      </c>
      <c r="W630">
        <v>114.2</v>
      </c>
      <c r="X630" t="s">
        <v>57</v>
      </c>
      <c r="Y630" t="s">
        <v>33</v>
      </c>
    </row>
    <row r="631" spans="1:25" x14ac:dyDescent="0.3">
      <c r="A631">
        <v>630</v>
      </c>
      <c r="B631" t="s">
        <v>518</v>
      </c>
      <c r="C631" t="s">
        <v>288</v>
      </c>
      <c r="D631" t="s">
        <v>89</v>
      </c>
      <c r="E631" t="s">
        <v>28</v>
      </c>
      <c r="F631">
        <v>2</v>
      </c>
      <c r="G631">
        <v>180</v>
      </c>
      <c r="H631">
        <v>360</v>
      </c>
      <c r="I631">
        <v>75</v>
      </c>
      <c r="J631">
        <v>150</v>
      </c>
      <c r="K631">
        <v>210</v>
      </c>
      <c r="L631" t="s">
        <v>29</v>
      </c>
      <c r="M631" t="s">
        <v>45</v>
      </c>
      <c r="N631" t="s">
        <v>81</v>
      </c>
      <c r="O631">
        <v>13.77</v>
      </c>
      <c r="P631">
        <v>46.99</v>
      </c>
      <c r="Q631">
        <v>15.04</v>
      </c>
      <c r="R631">
        <v>9.1999999999999993</v>
      </c>
      <c r="S631">
        <v>1.41</v>
      </c>
      <c r="T631">
        <v>7.91</v>
      </c>
      <c r="U631">
        <v>5.82</v>
      </c>
      <c r="V631">
        <v>1.81</v>
      </c>
      <c r="W631">
        <v>108.05</v>
      </c>
      <c r="X631" t="s">
        <v>66</v>
      </c>
      <c r="Y631" t="s">
        <v>33</v>
      </c>
    </row>
    <row r="632" spans="1:25" x14ac:dyDescent="0.3">
      <c r="A632">
        <v>631</v>
      </c>
      <c r="B632" t="s">
        <v>147</v>
      </c>
      <c r="C632" t="s">
        <v>183</v>
      </c>
      <c r="D632" t="s">
        <v>36</v>
      </c>
      <c r="E632" t="s">
        <v>28</v>
      </c>
      <c r="F632">
        <v>2</v>
      </c>
      <c r="G632">
        <v>220</v>
      </c>
      <c r="H632">
        <v>440</v>
      </c>
      <c r="I632">
        <v>100</v>
      </c>
      <c r="J632">
        <v>200</v>
      </c>
      <c r="K632">
        <v>240</v>
      </c>
      <c r="L632" t="s">
        <v>55</v>
      </c>
      <c r="M632" t="s">
        <v>63</v>
      </c>
      <c r="N632" t="s">
        <v>31</v>
      </c>
      <c r="O632">
        <v>28.46</v>
      </c>
      <c r="P632">
        <v>48.45</v>
      </c>
      <c r="Q632">
        <v>18.88</v>
      </c>
      <c r="R632">
        <v>17.510000000000002</v>
      </c>
      <c r="S632">
        <v>1.78</v>
      </c>
      <c r="T632">
        <v>3.25</v>
      </c>
      <c r="U632">
        <v>1</v>
      </c>
      <c r="V632">
        <v>2.96</v>
      </c>
      <c r="W632">
        <v>117.71</v>
      </c>
      <c r="X632" t="s">
        <v>32</v>
      </c>
      <c r="Y632" t="s">
        <v>33</v>
      </c>
    </row>
    <row r="633" spans="1:25" x14ac:dyDescent="0.3">
      <c r="A633">
        <v>632</v>
      </c>
      <c r="B633" t="s">
        <v>320</v>
      </c>
      <c r="C633" t="s">
        <v>235</v>
      </c>
      <c r="D633" t="s">
        <v>43</v>
      </c>
      <c r="E633" t="s">
        <v>43</v>
      </c>
      <c r="F633">
        <v>3</v>
      </c>
      <c r="G633">
        <v>80</v>
      </c>
      <c r="H633">
        <v>240</v>
      </c>
      <c r="I633">
        <v>30</v>
      </c>
      <c r="J633">
        <v>90</v>
      </c>
      <c r="K633">
        <v>150</v>
      </c>
      <c r="L633" t="s">
        <v>44</v>
      </c>
      <c r="M633" t="s">
        <v>38</v>
      </c>
      <c r="N633" t="s">
        <v>90</v>
      </c>
      <c r="O633">
        <v>34.4</v>
      </c>
      <c r="P633">
        <v>58.89</v>
      </c>
      <c r="Q633">
        <v>10.59</v>
      </c>
      <c r="R633">
        <v>29.56</v>
      </c>
      <c r="S633">
        <v>3.86</v>
      </c>
      <c r="T633">
        <v>13.91</v>
      </c>
      <c r="U633">
        <v>3.07</v>
      </c>
      <c r="V633">
        <v>0.66</v>
      </c>
      <c r="W633">
        <v>-4.9400000000000004</v>
      </c>
      <c r="X633" t="s">
        <v>66</v>
      </c>
      <c r="Y633" t="s">
        <v>40</v>
      </c>
    </row>
    <row r="634" spans="1:25" x14ac:dyDescent="0.3">
      <c r="A634">
        <v>633</v>
      </c>
      <c r="B634" t="s">
        <v>431</v>
      </c>
      <c r="C634" t="s">
        <v>520</v>
      </c>
      <c r="D634" t="s">
        <v>62</v>
      </c>
      <c r="E634" t="s">
        <v>28</v>
      </c>
      <c r="F634">
        <v>3</v>
      </c>
      <c r="G634">
        <v>250</v>
      </c>
      <c r="H634">
        <v>750</v>
      </c>
      <c r="I634">
        <v>110</v>
      </c>
      <c r="J634">
        <v>330</v>
      </c>
      <c r="K634">
        <v>420</v>
      </c>
      <c r="L634" t="s">
        <v>44</v>
      </c>
      <c r="M634" t="s">
        <v>30</v>
      </c>
      <c r="N634" t="s">
        <v>90</v>
      </c>
      <c r="O634">
        <v>19.91</v>
      </c>
      <c r="P634">
        <v>53.8</v>
      </c>
      <c r="Q634">
        <v>13.88</v>
      </c>
      <c r="R634">
        <v>2.5299999999999998</v>
      </c>
      <c r="S634">
        <v>1.84</v>
      </c>
      <c r="T634">
        <v>6.18</v>
      </c>
      <c r="U634">
        <v>4.1900000000000004</v>
      </c>
      <c r="V634">
        <v>2.97</v>
      </c>
      <c r="W634">
        <v>314.7</v>
      </c>
      <c r="X634" t="s">
        <v>32</v>
      </c>
      <c r="Y634" t="s">
        <v>33</v>
      </c>
    </row>
    <row r="635" spans="1:25" x14ac:dyDescent="0.3">
      <c r="A635">
        <v>634</v>
      </c>
      <c r="B635" t="s">
        <v>501</v>
      </c>
      <c r="C635" t="s">
        <v>187</v>
      </c>
      <c r="D635" t="s">
        <v>43</v>
      </c>
      <c r="E635" t="s">
        <v>43</v>
      </c>
      <c r="F635">
        <v>2</v>
      </c>
      <c r="G635">
        <v>80</v>
      </c>
      <c r="H635">
        <v>160</v>
      </c>
      <c r="I635">
        <v>30</v>
      </c>
      <c r="J635">
        <v>60</v>
      </c>
      <c r="K635">
        <v>100</v>
      </c>
      <c r="L635" t="s">
        <v>37</v>
      </c>
      <c r="M635" t="s">
        <v>63</v>
      </c>
      <c r="N635" t="s">
        <v>51</v>
      </c>
      <c r="O635">
        <v>11.11</v>
      </c>
      <c r="P635">
        <v>34.14</v>
      </c>
      <c r="Q635">
        <v>8.56</v>
      </c>
      <c r="R635">
        <v>28.8</v>
      </c>
      <c r="S635">
        <v>2.2200000000000002</v>
      </c>
      <c r="T635">
        <v>11.81</v>
      </c>
      <c r="U635">
        <v>1.79</v>
      </c>
      <c r="V635">
        <v>2.81</v>
      </c>
      <c r="W635">
        <v>-1.24</v>
      </c>
      <c r="X635" t="s">
        <v>32</v>
      </c>
      <c r="Y635" t="s">
        <v>40</v>
      </c>
    </row>
    <row r="636" spans="1:25" x14ac:dyDescent="0.3">
      <c r="A636">
        <v>635</v>
      </c>
      <c r="B636" t="s">
        <v>521</v>
      </c>
      <c r="C636" t="s">
        <v>294</v>
      </c>
      <c r="D636" t="s">
        <v>27</v>
      </c>
      <c r="E636" t="s">
        <v>28</v>
      </c>
      <c r="F636">
        <v>3</v>
      </c>
      <c r="G636">
        <v>200</v>
      </c>
      <c r="H636">
        <v>600</v>
      </c>
      <c r="I636">
        <v>90</v>
      </c>
      <c r="J636">
        <v>270</v>
      </c>
      <c r="K636">
        <v>330</v>
      </c>
      <c r="L636" t="s">
        <v>55</v>
      </c>
      <c r="M636" t="s">
        <v>63</v>
      </c>
      <c r="N636" t="s">
        <v>90</v>
      </c>
      <c r="O636">
        <v>20.309999999999999</v>
      </c>
      <c r="P636">
        <v>19.68</v>
      </c>
      <c r="Q636">
        <v>19.2</v>
      </c>
      <c r="R636">
        <v>26.75</v>
      </c>
      <c r="S636">
        <v>4.82</v>
      </c>
      <c r="T636">
        <v>4.2300000000000004</v>
      </c>
      <c r="U636">
        <v>2.75</v>
      </c>
      <c r="V636">
        <v>1.41</v>
      </c>
      <c r="W636">
        <v>230.85</v>
      </c>
      <c r="X636" t="s">
        <v>32</v>
      </c>
      <c r="Y636" t="s">
        <v>33</v>
      </c>
    </row>
    <row r="637" spans="1:25" x14ac:dyDescent="0.3">
      <c r="A637">
        <v>636</v>
      </c>
      <c r="B637" t="s">
        <v>414</v>
      </c>
      <c r="C637" t="s">
        <v>387</v>
      </c>
      <c r="D637" t="s">
        <v>43</v>
      </c>
      <c r="E637" t="s">
        <v>43</v>
      </c>
      <c r="F637">
        <v>1</v>
      </c>
      <c r="G637">
        <v>80</v>
      </c>
      <c r="H637">
        <v>80</v>
      </c>
      <c r="I637">
        <v>30</v>
      </c>
      <c r="J637">
        <v>30</v>
      </c>
      <c r="K637">
        <v>50</v>
      </c>
      <c r="L637" t="s">
        <v>44</v>
      </c>
      <c r="M637" t="s">
        <v>38</v>
      </c>
      <c r="N637" t="s">
        <v>81</v>
      </c>
      <c r="O637">
        <v>38.619999999999997</v>
      </c>
      <c r="P637">
        <v>51.43</v>
      </c>
      <c r="Q637">
        <v>8.19</v>
      </c>
      <c r="R637">
        <v>22.76</v>
      </c>
      <c r="S637">
        <v>0.17</v>
      </c>
      <c r="T637">
        <v>8.3800000000000008</v>
      </c>
      <c r="U637">
        <v>7.17</v>
      </c>
      <c r="V637">
        <v>1.97</v>
      </c>
      <c r="W637">
        <v>-88.69</v>
      </c>
      <c r="X637" t="s">
        <v>66</v>
      </c>
      <c r="Y637" t="s">
        <v>40</v>
      </c>
    </row>
    <row r="638" spans="1:25" x14ac:dyDescent="0.3">
      <c r="A638">
        <v>637</v>
      </c>
      <c r="B638" t="s">
        <v>64</v>
      </c>
      <c r="C638" t="s">
        <v>288</v>
      </c>
      <c r="D638" t="s">
        <v>89</v>
      </c>
      <c r="E638" t="s">
        <v>28</v>
      </c>
      <c r="F638">
        <v>1</v>
      </c>
      <c r="G638">
        <v>180</v>
      </c>
      <c r="H638">
        <v>180</v>
      </c>
      <c r="I638">
        <v>75</v>
      </c>
      <c r="J638">
        <v>75</v>
      </c>
      <c r="K638">
        <v>105</v>
      </c>
      <c r="L638" t="s">
        <v>86</v>
      </c>
      <c r="M638" t="s">
        <v>30</v>
      </c>
      <c r="N638" t="s">
        <v>90</v>
      </c>
      <c r="O638">
        <v>38.33</v>
      </c>
      <c r="P638">
        <v>42.01</v>
      </c>
      <c r="Q638">
        <v>12.77</v>
      </c>
      <c r="R638">
        <v>32.43</v>
      </c>
      <c r="S638">
        <v>2.4300000000000002</v>
      </c>
      <c r="T638">
        <v>4.2699999999999996</v>
      </c>
      <c r="U638">
        <v>7.91</v>
      </c>
      <c r="V638">
        <v>0.57999999999999996</v>
      </c>
      <c r="W638">
        <v>-35.729999999999997</v>
      </c>
      <c r="X638" t="s">
        <v>66</v>
      </c>
      <c r="Y638" t="s">
        <v>33</v>
      </c>
    </row>
    <row r="639" spans="1:25" x14ac:dyDescent="0.3">
      <c r="A639">
        <v>638</v>
      </c>
      <c r="B639" t="s">
        <v>214</v>
      </c>
      <c r="C639" t="s">
        <v>522</v>
      </c>
      <c r="D639" t="s">
        <v>49</v>
      </c>
      <c r="E639" t="s">
        <v>50</v>
      </c>
      <c r="F639">
        <v>2</v>
      </c>
      <c r="G639">
        <v>180</v>
      </c>
      <c r="H639">
        <v>360</v>
      </c>
      <c r="I639">
        <v>90</v>
      </c>
      <c r="J639">
        <v>180</v>
      </c>
      <c r="K639">
        <v>180</v>
      </c>
      <c r="L639" t="s">
        <v>44</v>
      </c>
      <c r="M639" t="s">
        <v>38</v>
      </c>
      <c r="N639" t="s">
        <v>46</v>
      </c>
      <c r="O639">
        <v>17.46</v>
      </c>
      <c r="P639">
        <v>20.62</v>
      </c>
      <c r="Q639">
        <v>5.36</v>
      </c>
      <c r="R639">
        <v>15.72</v>
      </c>
      <c r="S639">
        <v>1.6</v>
      </c>
      <c r="T639">
        <v>3.56</v>
      </c>
      <c r="U639">
        <v>7.43</v>
      </c>
      <c r="V639">
        <v>1.55</v>
      </c>
      <c r="W639">
        <v>106.7</v>
      </c>
      <c r="X639" t="s">
        <v>32</v>
      </c>
      <c r="Y639" t="s">
        <v>33</v>
      </c>
    </row>
    <row r="640" spans="1:25" x14ac:dyDescent="0.3">
      <c r="A640">
        <v>639</v>
      </c>
      <c r="B640" t="s">
        <v>103</v>
      </c>
      <c r="C640" t="s">
        <v>378</v>
      </c>
      <c r="D640" t="s">
        <v>36</v>
      </c>
      <c r="E640" t="s">
        <v>28</v>
      </c>
      <c r="F640">
        <v>2</v>
      </c>
      <c r="G640">
        <v>220</v>
      </c>
      <c r="H640">
        <v>440</v>
      </c>
      <c r="I640">
        <v>100</v>
      </c>
      <c r="J640">
        <v>200</v>
      </c>
      <c r="K640">
        <v>240</v>
      </c>
      <c r="L640" t="s">
        <v>44</v>
      </c>
      <c r="M640" t="s">
        <v>45</v>
      </c>
      <c r="N640" t="s">
        <v>51</v>
      </c>
      <c r="O640">
        <v>22.66</v>
      </c>
      <c r="P640">
        <v>36.380000000000003</v>
      </c>
      <c r="Q640">
        <v>19.579999999999998</v>
      </c>
      <c r="R640">
        <v>20.89</v>
      </c>
      <c r="S640">
        <v>0.63</v>
      </c>
      <c r="T640">
        <v>4.62</v>
      </c>
      <c r="U640">
        <v>1.4</v>
      </c>
      <c r="V640">
        <v>2.33</v>
      </c>
      <c r="W640">
        <v>131.51</v>
      </c>
      <c r="X640" t="s">
        <v>32</v>
      </c>
      <c r="Y640" t="s">
        <v>40</v>
      </c>
    </row>
    <row r="641" spans="1:25" x14ac:dyDescent="0.3">
      <c r="A641">
        <v>640</v>
      </c>
      <c r="B641" t="s">
        <v>340</v>
      </c>
      <c r="C641" t="s">
        <v>367</v>
      </c>
      <c r="D641" t="s">
        <v>54</v>
      </c>
      <c r="E641" t="s">
        <v>28</v>
      </c>
      <c r="F641">
        <v>1</v>
      </c>
      <c r="G641">
        <v>120</v>
      </c>
      <c r="H641">
        <v>120</v>
      </c>
      <c r="I641">
        <v>50</v>
      </c>
      <c r="J641">
        <v>50</v>
      </c>
      <c r="K641">
        <v>70</v>
      </c>
      <c r="L641" t="s">
        <v>37</v>
      </c>
      <c r="M641" t="s">
        <v>63</v>
      </c>
      <c r="N641" t="s">
        <v>31</v>
      </c>
      <c r="O641">
        <v>13.49</v>
      </c>
      <c r="P641">
        <v>52.63</v>
      </c>
      <c r="Q641">
        <v>9.86</v>
      </c>
      <c r="R641">
        <v>24.43</v>
      </c>
      <c r="S641">
        <v>1.38</v>
      </c>
      <c r="T641">
        <v>8.65</v>
      </c>
      <c r="U641">
        <v>2.65</v>
      </c>
      <c r="V641">
        <v>2.44</v>
      </c>
      <c r="W641">
        <v>-45.53</v>
      </c>
      <c r="X641" t="s">
        <v>66</v>
      </c>
      <c r="Y641" t="s">
        <v>40</v>
      </c>
    </row>
    <row r="642" spans="1:25" x14ac:dyDescent="0.3">
      <c r="A642">
        <v>641</v>
      </c>
      <c r="B642" t="s">
        <v>253</v>
      </c>
      <c r="C642" t="s">
        <v>112</v>
      </c>
      <c r="D642" t="s">
        <v>27</v>
      </c>
      <c r="E642" t="s">
        <v>28</v>
      </c>
      <c r="F642">
        <v>2</v>
      </c>
      <c r="G642">
        <v>200</v>
      </c>
      <c r="H642">
        <v>400</v>
      </c>
      <c r="I642">
        <v>90</v>
      </c>
      <c r="J642">
        <v>180</v>
      </c>
      <c r="K642">
        <v>220</v>
      </c>
      <c r="L642" t="s">
        <v>37</v>
      </c>
      <c r="M642" t="s">
        <v>38</v>
      </c>
      <c r="N642" t="s">
        <v>39</v>
      </c>
      <c r="O642">
        <v>27.83</v>
      </c>
      <c r="P642">
        <v>57.18</v>
      </c>
      <c r="Q642">
        <v>6.98</v>
      </c>
      <c r="R642">
        <v>23.28</v>
      </c>
      <c r="S642">
        <v>2.82</v>
      </c>
      <c r="T642">
        <v>9.7799999999999994</v>
      </c>
      <c r="U642">
        <v>7.17</v>
      </c>
      <c r="V642">
        <v>1.84</v>
      </c>
      <c r="W642">
        <v>83.12</v>
      </c>
      <c r="X642" t="s">
        <v>32</v>
      </c>
      <c r="Y642" t="s">
        <v>33</v>
      </c>
    </row>
    <row r="643" spans="1:25" x14ac:dyDescent="0.3">
      <c r="A643">
        <v>642</v>
      </c>
      <c r="B643" t="s">
        <v>221</v>
      </c>
      <c r="C643" t="s">
        <v>523</v>
      </c>
      <c r="D643" t="s">
        <v>36</v>
      </c>
      <c r="E643" t="s">
        <v>28</v>
      </c>
      <c r="F643">
        <v>3</v>
      </c>
      <c r="G643">
        <v>220</v>
      </c>
      <c r="H643">
        <v>660</v>
      </c>
      <c r="I643">
        <v>100</v>
      </c>
      <c r="J643">
        <v>300</v>
      </c>
      <c r="K643">
        <v>360</v>
      </c>
      <c r="L643" t="s">
        <v>29</v>
      </c>
      <c r="M643" t="s">
        <v>30</v>
      </c>
      <c r="N643" t="s">
        <v>46</v>
      </c>
      <c r="O643">
        <v>15.27</v>
      </c>
      <c r="P643">
        <v>27.71</v>
      </c>
      <c r="Q643">
        <v>19.850000000000001</v>
      </c>
      <c r="R643">
        <v>10.86</v>
      </c>
      <c r="S643">
        <v>1.1399999999999999</v>
      </c>
      <c r="T643">
        <v>14.2</v>
      </c>
      <c r="U643">
        <v>6.51</v>
      </c>
      <c r="V643">
        <v>3</v>
      </c>
      <c r="W643">
        <v>261.45999999999998</v>
      </c>
      <c r="X643" t="s">
        <v>57</v>
      </c>
      <c r="Y643" t="s">
        <v>40</v>
      </c>
    </row>
    <row r="644" spans="1:25" x14ac:dyDescent="0.3">
      <c r="A644">
        <v>643</v>
      </c>
      <c r="B644" t="s">
        <v>60</v>
      </c>
      <c r="C644" t="s">
        <v>162</v>
      </c>
      <c r="D644" t="s">
        <v>36</v>
      </c>
      <c r="E644" t="s">
        <v>28</v>
      </c>
      <c r="F644">
        <v>3</v>
      </c>
      <c r="G644">
        <v>220</v>
      </c>
      <c r="H644">
        <v>660</v>
      </c>
      <c r="I644">
        <v>100</v>
      </c>
      <c r="J644">
        <v>300</v>
      </c>
      <c r="K644">
        <v>360</v>
      </c>
      <c r="L644" t="s">
        <v>44</v>
      </c>
      <c r="M644" t="s">
        <v>30</v>
      </c>
      <c r="N644" t="s">
        <v>46</v>
      </c>
      <c r="O644">
        <v>32.97</v>
      </c>
      <c r="P644">
        <v>16.77</v>
      </c>
      <c r="Q644">
        <v>15.29</v>
      </c>
      <c r="R644">
        <v>22.37</v>
      </c>
      <c r="S644">
        <v>1.47</v>
      </c>
      <c r="T644">
        <v>7.25</v>
      </c>
      <c r="U644">
        <v>2.27</v>
      </c>
      <c r="V644">
        <v>2.4300000000000002</v>
      </c>
      <c r="W644">
        <v>259.18</v>
      </c>
      <c r="X644" t="s">
        <v>32</v>
      </c>
      <c r="Y644" t="s">
        <v>40</v>
      </c>
    </row>
    <row r="645" spans="1:25" x14ac:dyDescent="0.3">
      <c r="A645">
        <v>644</v>
      </c>
      <c r="B645" t="s">
        <v>524</v>
      </c>
      <c r="C645" t="s">
        <v>324</v>
      </c>
      <c r="D645" t="s">
        <v>89</v>
      </c>
      <c r="E645" t="s">
        <v>28</v>
      </c>
      <c r="F645">
        <v>3</v>
      </c>
      <c r="G645">
        <v>180</v>
      </c>
      <c r="H645">
        <v>540</v>
      </c>
      <c r="I645">
        <v>75</v>
      </c>
      <c r="J645">
        <v>225</v>
      </c>
      <c r="K645">
        <v>315</v>
      </c>
      <c r="L645" t="s">
        <v>44</v>
      </c>
      <c r="M645" t="s">
        <v>45</v>
      </c>
      <c r="N645" t="s">
        <v>81</v>
      </c>
      <c r="O645">
        <v>27.53</v>
      </c>
      <c r="P645">
        <v>59.1</v>
      </c>
      <c r="Q645">
        <v>15.04</v>
      </c>
      <c r="R645">
        <v>16.260000000000002</v>
      </c>
      <c r="S645">
        <v>3.84</v>
      </c>
      <c r="T645">
        <v>11.98</v>
      </c>
      <c r="U645">
        <v>3.12</v>
      </c>
      <c r="V645">
        <v>0.11</v>
      </c>
      <c r="W645">
        <v>178.02</v>
      </c>
      <c r="X645" t="s">
        <v>32</v>
      </c>
      <c r="Y645" t="s">
        <v>40</v>
      </c>
    </row>
    <row r="646" spans="1:25" x14ac:dyDescent="0.3">
      <c r="A646">
        <v>645</v>
      </c>
      <c r="B646" t="s">
        <v>334</v>
      </c>
      <c r="C646" t="s">
        <v>347</v>
      </c>
      <c r="D646" t="s">
        <v>49</v>
      </c>
      <c r="E646" t="s">
        <v>50</v>
      </c>
      <c r="F646">
        <v>2</v>
      </c>
      <c r="G646">
        <v>180</v>
      </c>
      <c r="H646">
        <v>360</v>
      </c>
      <c r="I646">
        <v>90</v>
      </c>
      <c r="J646">
        <v>180</v>
      </c>
      <c r="K646">
        <v>180</v>
      </c>
      <c r="L646" t="s">
        <v>55</v>
      </c>
      <c r="M646" t="s">
        <v>30</v>
      </c>
      <c r="N646" t="s">
        <v>31</v>
      </c>
      <c r="O646">
        <v>28.12</v>
      </c>
      <c r="P646">
        <v>49.54</v>
      </c>
      <c r="Q646">
        <v>12.76</v>
      </c>
      <c r="R646">
        <v>18.45</v>
      </c>
      <c r="S646">
        <v>3.06</v>
      </c>
      <c r="T646">
        <v>10.44</v>
      </c>
      <c r="U646">
        <v>2.87</v>
      </c>
      <c r="V646">
        <v>0.47</v>
      </c>
      <c r="W646">
        <v>54.29</v>
      </c>
      <c r="X646" t="s">
        <v>66</v>
      </c>
      <c r="Y646" t="s">
        <v>33</v>
      </c>
    </row>
    <row r="647" spans="1:25" x14ac:dyDescent="0.3">
      <c r="A647">
        <v>646</v>
      </c>
      <c r="B647" t="s">
        <v>426</v>
      </c>
      <c r="C647" t="s">
        <v>525</v>
      </c>
      <c r="D647" t="s">
        <v>62</v>
      </c>
      <c r="E647" t="s">
        <v>28</v>
      </c>
      <c r="F647">
        <v>2</v>
      </c>
      <c r="G647">
        <v>250</v>
      </c>
      <c r="H647">
        <v>500</v>
      </c>
      <c r="I647">
        <v>110</v>
      </c>
      <c r="J647">
        <v>220</v>
      </c>
      <c r="K647">
        <v>280</v>
      </c>
      <c r="L647" t="s">
        <v>86</v>
      </c>
      <c r="M647" t="s">
        <v>30</v>
      </c>
      <c r="N647" t="s">
        <v>31</v>
      </c>
      <c r="O647">
        <v>26.32</v>
      </c>
      <c r="P647">
        <v>24.8</v>
      </c>
      <c r="Q647">
        <v>15</v>
      </c>
      <c r="R647">
        <v>28.52</v>
      </c>
      <c r="S647">
        <v>1.1599999999999999</v>
      </c>
      <c r="T647">
        <v>8.1</v>
      </c>
      <c r="U647">
        <v>1.89</v>
      </c>
      <c r="V647">
        <v>1.69</v>
      </c>
      <c r="W647">
        <v>172.52</v>
      </c>
      <c r="X647" t="s">
        <v>57</v>
      </c>
      <c r="Y647" t="s">
        <v>40</v>
      </c>
    </row>
    <row r="648" spans="1:25" x14ac:dyDescent="0.3">
      <c r="A648">
        <v>647</v>
      </c>
      <c r="B648" t="s">
        <v>279</v>
      </c>
      <c r="C648" t="s">
        <v>446</v>
      </c>
      <c r="D648" t="s">
        <v>62</v>
      </c>
      <c r="E648" t="s">
        <v>28</v>
      </c>
      <c r="F648">
        <v>1</v>
      </c>
      <c r="G648">
        <v>250</v>
      </c>
      <c r="H648">
        <v>250</v>
      </c>
      <c r="I648">
        <v>110</v>
      </c>
      <c r="J648">
        <v>110</v>
      </c>
      <c r="K648">
        <v>140</v>
      </c>
      <c r="L648" t="s">
        <v>55</v>
      </c>
      <c r="M648" t="s">
        <v>63</v>
      </c>
      <c r="N648" t="s">
        <v>90</v>
      </c>
      <c r="O648">
        <v>28.05</v>
      </c>
      <c r="P648">
        <v>34.97</v>
      </c>
      <c r="Q648">
        <v>6.15</v>
      </c>
      <c r="R648">
        <v>32.090000000000003</v>
      </c>
      <c r="S648">
        <v>2.67</v>
      </c>
      <c r="T648">
        <v>12.83</v>
      </c>
      <c r="U648">
        <v>2.52</v>
      </c>
      <c r="V648">
        <v>2.84</v>
      </c>
      <c r="W648">
        <v>17.88</v>
      </c>
      <c r="X648" t="s">
        <v>66</v>
      </c>
      <c r="Y648" t="s">
        <v>40</v>
      </c>
    </row>
    <row r="649" spans="1:25" x14ac:dyDescent="0.3">
      <c r="A649">
        <v>648</v>
      </c>
      <c r="B649" t="s">
        <v>119</v>
      </c>
      <c r="C649" t="s">
        <v>405</v>
      </c>
      <c r="D649" t="s">
        <v>27</v>
      </c>
      <c r="E649" t="s">
        <v>28</v>
      </c>
      <c r="F649">
        <v>4</v>
      </c>
      <c r="G649">
        <v>200</v>
      </c>
      <c r="H649">
        <v>800</v>
      </c>
      <c r="I649">
        <v>90</v>
      </c>
      <c r="J649">
        <v>360</v>
      </c>
      <c r="K649">
        <v>440</v>
      </c>
      <c r="L649" t="s">
        <v>86</v>
      </c>
      <c r="M649" t="s">
        <v>45</v>
      </c>
      <c r="N649" t="s">
        <v>81</v>
      </c>
      <c r="O649">
        <v>26.11</v>
      </c>
      <c r="P649">
        <v>58.71</v>
      </c>
      <c r="Q649">
        <v>15.14</v>
      </c>
      <c r="R649">
        <v>1.97</v>
      </c>
      <c r="S649">
        <v>0.4</v>
      </c>
      <c r="T649">
        <v>13.06</v>
      </c>
      <c r="U649">
        <v>4.1399999999999997</v>
      </c>
      <c r="V649">
        <v>0.66</v>
      </c>
      <c r="W649">
        <v>319.81</v>
      </c>
      <c r="X649" t="s">
        <v>32</v>
      </c>
      <c r="Y649" t="s">
        <v>33</v>
      </c>
    </row>
    <row r="650" spans="1:25" x14ac:dyDescent="0.3">
      <c r="A650">
        <v>649</v>
      </c>
      <c r="B650" t="s">
        <v>213</v>
      </c>
      <c r="C650" t="s">
        <v>125</v>
      </c>
      <c r="D650" t="s">
        <v>43</v>
      </c>
      <c r="E650" t="s">
        <v>43</v>
      </c>
      <c r="F650">
        <v>2</v>
      </c>
      <c r="G650">
        <v>80</v>
      </c>
      <c r="H650">
        <v>160</v>
      </c>
      <c r="I650">
        <v>30</v>
      </c>
      <c r="J650">
        <v>60</v>
      </c>
      <c r="K650">
        <v>100</v>
      </c>
      <c r="L650" t="s">
        <v>44</v>
      </c>
      <c r="M650" t="s">
        <v>56</v>
      </c>
      <c r="N650" t="s">
        <v>51</v>
      </c>
      <c r="O650">
        <v>37.21</v>
      </c>
      <c r="P650">
        <v>30.66</v>
      </c>
      <c r="Q650">
        <v>5.73</v>
      </c>
      <c r="R650">
        <v>25.2</v>
      </c>
      <c r="S650">
        <v>4.97</v>
      </c>
      <c r="T650">
        <v>9.81</v>
      </c>
      <c r="U650">
        <v>3.14</v>
      </c>
      <c r="V650">
        <v>0.28000000000000003</v>
      </c>
      <c r="W650">
        <v>-17</v>
      </c>
      <c r="X650" t="s">
        <v>57</v>
      </c>
      <c r="Y650" t="s">
        <v>40</v>
      </c>
    </row>
    <row r="651" spans="1:25" x14ac:dyDescent="0.3">
      <c r="A651">
        <v>650</v>
      </c>
      <c r="B651" t="s">
        <v>396</v>
      </c>
      <c r="C651" t="s">
        <v>226</v>
      </c>
      <c r="D651" t="s">
        <v>109</v>
      </c>
      <c r="E651" t="s">
        <v>50</v>
      </c>
      <c r="F651">
        <v>3</v>
      </c>
      <c r="G651">
        <v>150</v>
      </c>
      <c r="H651">
        <v>450</v>
      </c>
      <c r="I651">
        <v>70</v>
      </c>
      <c r="J651">
        <v>210</v>
      </c>
      <c r="K651">
        <v>240</v>
      </c>
      <c r="L651" t="s">
        <v>86</v>
      </c>
      <c r="M651" t="s">
        <v>56</v>
      </c>
      <c r="N651" t="s">
        <v>31</v>
      </c>
      <c r="O651">
        <v>34.880000000000003</v>
      </c>
      <c r="P651">
        <v>48.41</v>
      </c>
      <c r="Q651">
        <v>19.88</v>
      </c>
      <c r="R651">
        <v>18.11</v>
      </c>
      <c r="S651">
        <v>0.15</v>
      </c>
      <c r="T651">
        <v>13.68</v>
      </c>
      <c r="U651">
        <v>4.18</v>
      </c>
      <c r="V651">
        <v>2.09</v>
      </c>
      <c r="W651">
        <v>98.62</v>
      </c>
      <c r="X651" t="s">
        <v>66</v>
      </c>
      <c r="Y651" t="s">
        <v>33</v>
      </c>
    </row>
    <row r="652" spans="1:25" x14ac:dyDescent="0.3">
      <c r="A652">
        <v>651</v>
      </c>
      <c r="B652" t="s">
        <v>227</v>
      </c>
      <c r="C652" t="s">
        <v>144</v>
      </c>
      <c r="D652" t="s">
        <v>89</v>
      </c>
      <c r="E652" t="s">
        <v>28</v>
      </c>
      <c r="F652">
        <v>1</v>
      </c>
      <c r="G652">
        <v>180</v>
      </c>
      <c r="H652">
        <v>180</v>
      </c>
      <c r="I652">
        <v>75</v>
      </c>
      <c r="J652">
        <v>75</v>
      </c>
      <c r="K652">
        <v>105</v>
      </c>
      <c r="L652" t="s">
        <v>29</v>
      </c>
      <c r="M652" t="s">
        <v>56</v>
      </c>
      <c r="N652" t="s">
        <v>46</v>
      </c>
      <c r="O652">
        <v>16.89</v>
      </c>
      <c r="P652">
        <v>47.66</v>
      </c>
      <c r="Q652">
        <v>15.11</v>
      </c>
      <c r="R652">
        <v>11.94</v>
      </c>
      <c r="S652">
        <v>2.2799999999999998</v>
      </c>
      <c r="T652">
        <v>3.02</v>
      </c>
      <c r="U652">
        <v>6.72</v>
      </c>
      <c r="V652">
        <v>0.26</v>
      </c>
      <c r="W652">
        <v>1.1200000000000001</v>
      </c>
      <c r="X652" t="s">
        <v>32</v>
      </c>
      <c r="Y652" t="s">
        <v>33</v>
      </c>
    </row>
    <row r="653" spans="1:25" x14ac:dyDescent="0.3">
      <c r="A653">
        <v>652</v>
      </c>
      <c r="B653" t="s">
        <v>25</v>
      </c>
      <c r="C653" t="s">
        <v>162</v>
      </c>
      <c r="D653" t="s">
        <v>36</v>
      </c>
      <c r="E653" t="s">
        <v>28</v>
      </c>
      <c r="F653">
        <v>2</v>
      </c>
      <c r="G653">
        <v>220</v>
      </c>
      <c r="H653">
        <v>440</v>
      </c>
      <c r="I653">
        <v>100</v>
      </c>
      <c r="J653">
        <v>200</v>
      </c>
      <c r="K653">
        <v>240</v>
      </c>
      <c r="L653" t="s">
        <v>55</v>
      </c>
      <c r="M653" t="s">
        <v>38</v>
      </c>
      <c r="N653" t="s">
        <v>81</v>
      </c>
      <c r="O653">
        <v>21.28</v>
      </c>
      <c r="P653">
        <v>26.63</v>
      </c>
      <c r="Q653">
        <v>12.63</v>
      </c>
      <c r="R653">
        <v>24.46</v>
      </c>
      <c r="S653">
        <v>2.14</v>
      </c>
      <c r="T653">
        <v>5.92</v>
      </c>
      <c r="U653">
        <v>4.6100000000000003</v>
      </c>
      <c r="V653">
        <v>1.33</v>
      </c>
      <c r="W653">
        <v>141</v>
      </c>
      <c r="X653" t="s">
        <v>57</v>
      </c>
      <c r="Y653" t="s">
        <v>33</v>
      </c>
    </row>
    <row r="654" spans="1:25" x14ac:dyDescent="0.3">
      <c r="A654">
        <v>653</v>
      </c>
      <c r="B654" t="s">
        <v>350</v>
      </c>
      <c r="C654" t="s">
        <v>368</v>
      </c>
      <c r="D654" t="s">
        <v>49</v>
      </c>
      <c r="E654" t="s">
        <v>50</v>
      </c>
      <c r="F654">
        <v>1</v>
      </c>
      <c r="G654">
        <v>180</v>
      </c>
      <c r="H654">
        <v>180</v>
      </c>
      <c r="I654">
        <v>90</v>
      </c>
      <c r="J654">
        <v>90</v>
      </c>
      <c r="K654">
        <v>90</v>
      </c>
      <c r="L654" t="s">
        <v>29</v>
      </c>
      <c r="M654" t="s">
        <v>63</v>
      </c>
      <c r="N654" t="s">
        <v>90</v>
      </c>
      <c r="O654">
        <v>33.369999999999997</v>
      </c>
      <c r="P654">
        <v>52.51</v>
      </c>
      <c r="Q654">
        <v>11.06</v>
      </c>
      <c r="R654">
        <v>24.07</v>
      </c>
      <c r="S654">
        <v>2.59</v>
      </c>
      <c r="T654">
        <v>12.32</v>
      </c>
      <c r="U654">
        <v>7.35</v>
      </c>
      <c r="V654">
        <v>0.06</v>
      </c>
      <c r="W654">
        <v>-53.33</v>
      </c>
      <c r="X654" t="s">
        <v>32</v>
      </c>
      <c r="Y654" t="s">
        <v>33</v>
      </c>
    </row>
    <row r="655" spans="1:25" x14ac:dyDescent="0.3">
      <c r="A655">
        <v>654</v>
      </c>
      <c r="B655" t="s">
        <v>172</v>
      </c>
      <c r="C655" t="s">
        <v>116</v>
      </c>
      <c r="D655" t="s">
        <v>27</v>
      </c>
      <c r="E655" t="s">
        <v>28</v>
      </c>
      <c r="F655">
        <v>1</v>
      </c>
      <c r="G655">
        <v>200</v>
      </c>
      <c r="H655">
        <v>200</v>
      </c>
      <c r="I655">
        <v>90</v>
      </c>
      <c r="J655">
        <v>90</v>
      </c>
      <c r="K655">
        <v>110</v>
      </c>
      <c r="L655" t="s">
        <v>37</v>
      </c>
      <c r="M655" t="s">
        <v>30</v>
      </c>
      <c r="N655" t="s">
        <v>51</v>
      </c>
      <c r="O655">
        <v>29.1</v>
      </c>
      <c r="P655">
        <v>23.95</v>
      </c>
      <c r="Q655">
        <v>13.31</v>
      </c>
      <c r="R655">
        <v>31.67</v>
      </c>
      <c r="S655">
        <v>4.8899999999999997</v>
      </c>
      <c r="T655">
        <v>13.12</v>
      </c>
      <c r="U655">
        <v>5.05</v>
      </c>
      <c r="V655">
        <v>0.24</v>
      </c>
      <c r="W655">
        <v>-11.33</v>
      </c>
      <c r="X655" t="s">
        <v>57</v>
      </c>
      <c r="Y655" t="s">
        <v>40</v>
      </c>
    </row>
    <row r="656" spans="1:25" x14ac:dyDescent="0.3">
      <c r="A656">
        <v>655</v>
      </c>
      <c r="B656" t="s">
        <v>507</v>
      </c>
      <c r="C656" t="s">
        <v>415</v>
      </c>
      <c r="D656" t="s">
        <v>109</v>
      </c>
      <c r="E656" t="s">
        <v>50</v>
      </c>
      <c r="F656">
        <v>4</v>
      </c>
      <c r="G656">
        <v>150</v>
      </c>
      <c r="H656">
        <v>600</v>
      </c>
      <c r="I656">
        <v>70</v>
      </c>
      <c r="J656">
        <v>280</v>
      </c>
      <c r="K656">
        <v>320</v>
      </c>
      <c r="L656" t="s">
        <v>37</v>
      </c>
      <c r="M656" t="s">
        <v>56</v>
      </c>
      <c r="N656" t="s">
        <v>51</v>
      </c>
      <c r="O656">
        <v>23.22</v>
      </c>
      <c r="P656">
        <v>26.14</v>
      </c>
      <c r="Q656">
        <v>6.95</v>
      </c>
      <c r="R656">
        <v>8.1999999999999993</v>
      </c>
      <c r="S656">
        <v>1.48</v>
      </c>
      <c r="T656">
        <v>10.8</v>
      </c>
      <c r="U656">
        <v>5.73</v>
      </c>
      <c r="V656">
        <v>0.66</v>
      </c>
      <c r="W656">
        <v>236.82</v>
      </c>
      <c r="X656" t="s">
        <v>66</v>
      </c>
      <c r="Y656" t="s">
        <v>33</v>
      </c>
    </row>
    <row r="657" spans="1:25" x14ac:dyDescent="0.3">
      <c r="A657">
        <v>656</v>
      </c>
      <c r="B657" t="s">
        <v>91</v>
      </c>
      <c r="C657" t="s">
        <v>526</v>
      </c>
      <c r="D657" t="s">
        <v>62</v>
      </c>
      <c r="E657" t="s">
        <v>28</v>
      </c>
      <c r="F657">
        <v>1</v>
      </c>
      <c r="G657">
        <v>250</v>
      </c>
      <c r="H657">
        <v>250</v>
      </c>
      <c r="I657">
        <v>110</v>
      </c>
      <c r="J657">
        <v>110</v>
      </c>
      <c r="K657">
        <v>140</v>
      </c>
      <c r="L657" t="s">
        <v>55</v>
      </c>
      <c r="M657" t="s">
        <v>38</v>
      </c>
      <c r="N657" t="s">
        <v>46</v>
      </c>
      <c r="O657">
        <v>11.75</v>
      </c>
      <c r="P657">
        <v>29.1</v>
      </c>
      <c r="Q657">
        <v>12.01</v>
      </c>
      <c r="R657">
        <v>6.31</v>
      </c>
      <c r="S657">
        <v>1.46</v>
      </c>
      <c r="T657">
        <v>7.02</v>
      </c>
      <c r="U657">
        <v>4.04</v>
      </c>
      <c r="V657">
        <v>0.45</v>
      </c>
      <c r="W657">
        <v>67.86</v>
      </c>
      <c r="X657" t="s">
        <v>57</v>
      </c>
      <c r="Y657" t="s">
        <v>40</v>
      </c>
    </row>
    <row r="658" spans="1:25" x14ac:dyDescent="0.3">
      <c r="A658">
        <v>657</v>
      </c>
      <c r="B658" t="s">
        <v>379</v>
      </c>
      <c r="C658" t="s">
        <v>527</v>
      </c>
      <c r="D658" t="s">
        <v>54</v>
      </c>
      <c r="E658" t="s">
        <v>28</v>
      </c>
      <c r="F658">
        <v>4</v>
      </c>
      <c r="G658">
        <v>120</v>
      </c>
      <c r="H658">
        <v>480</v>
      </c>
      <c r="I658">
        <v>50</v>
      </c>
      <c r="J658">
        <v>200</v>
      </c>
      <c r="K658">
        <v>280</v>
      </c>
      <c r="L658" t="s">
        <v>29</v>
      </c>
      <c r="M658" t="s">
        <v>30</v>
      </c>
      <c r="N658" t="s">
        <v>31</v>
      </c>
      <c r="O658">
        <v>21.84</v>
      </c>
      <c r="P658">
        <v>53.86</v>
      </c>
      <c r="Q658">
        <v>7.04</v>
      </c>
      <c r="R658">
        <v>14.14</v>
      </c>
      <c r="S658">
        <v>3.45</v>
      </c>
      <c r="T658">
        <v>9.17</v>
      </c>
      <c r="U658">
        <v>4.16</v>
      </c>
      <c r="V658">
        <v>0.25</v>
      </c>
      <c r="W658">
        <v>166.09</v>
      </c>
      <c r="X658" t="s">
        <v>57</v>
      </c>
      <c r="Y658" t="s">
        <v>33</v>
      </c>
    </row>
    <row r="659" spans="1:25" x14ac:dyDescent="0.3">
      <c r="A659">
        <v>658</v>
      </c>
      <c r="B659" t="s">
        <v>344</v>
      </c>
      <c r="C659" t="s">
        <v>528</v>
      </c>
      <c r="D659" t="s">
        <v>54</v>
      </c>
      <c r="E659" t="s">
        <v>28</v>
      </c>
      <c r="F659">
        <v>3</v>
      </c>
      <c r="G659">
        <v>120</v>
      </c>
      <c r="H659">
        <v>360</v>
      </c>
      <c r="I659">
        <v>50</v>
      </c>
      <c r="J659">
        <v>150</v>
      </c>
      <c r="K659">
        <v>210</v>
      </c>
      <c r="L659" t="s">
        <v>37</v>
      </c>
      <c r="M659" t="s">
        <v>38</v>
      </c>
      <c r="N659" t="s">
        <v>31</v>
      </c>
      <c r="O659">
        <v>14.85</v>
      </c>
      <c r="P659">
        <v>28.72</v>
      </c>
      <c r="Q659">
        <v>14.84</v>
      </c>
      <c r="R659">
        <v>11.81</v>
      </c>
      <c r="S659">
        <v>4.63</v>
      </c>
      <c r="T659">
        <v>8.74</v>
      </c>
      <c r="U659">
        <v>2.0299999999999998</v>
      </c>
      <c r="V659">
        <v>0.24</v>
      </c>
      <c r="W659">
        <v>124.14</v>
      </c>
      <c r="X659" t="s">
        <v>66</v>
      </c>
      <c r="Y659" t="s">
        <v>40</v>
      </c>
    </row>
    <row r="660" spans="1:25" x14ac:dyDescent="0.3">
      <c r="A660">
        <v>659</v>
      </c>
      <c r="B660" t="s">
        <v>524</v>
      </c>
      <c r="C660" t="s">
        <v>280</v>
      </c>
      <c r="D660" t="s">
        <v>43</v>
      </c>
      <c r="E660" t="s">
        <v>43</v>
      </c>
      <c r="F660">
        <v>4</v>
      </c>
      <c r="G660">
        <v>80</v>
      </c>
      <c r="H660">
        <v>320</v>
      </c>
      <c r="I660">
        <v>30</v>
      </c>
      <c r="J660">
        <v>120</v>
      </c>
      <c r="K660">
        <v>200</v>
      </c>
      <c r="L660" t="s">
        <v>37</v>
      </c>
      <c r="M660" t="s">
        <v>63</v>
      </c>
      <c r="N660" t="s">
        <v>39</v>
      </c>
      <c r="O660">
        <v>39.76</v>
      </c>
      <c r="P660">
        <v>28.87</v>
      </c>
      <c r="Q660">
        <v>5.04</v>
      </c>
      <c r="R660">
        <v>19.510000000000002</v>
      </c>
      <c r="S660">
        <v>3.11</v>
      </c>
      <c r="T660">
        <v>4.45</v>
      </c>
      <c r="U660">
        <v>4.97</v>
      </c>
      <c r="V660">
        <v>0.05</v>
      </c>
      <c r="W660">
        <v>94.24</v>
      </c>
      <c r="X660" t="s">
        <v>66</v>
      </c>
      <c r="Y660" t="s">
        <v>40</v>
      </c>
    </row>
    <row r="661" spans="1:25" x14ac:dyDescent="0.3">
      <c r="A661">
        <v>660</v>
      </c>
      <c r="B661" t="s">
        <v>221</v>
      </c>
      <c r="C661" t="s">
        <v>529</v>
      </c>
      <c r="D661" t="s">
        <v>54</v>
      </c>
      <c r="E661" t="s">
        <v>28</v>
      </c>
      <c r="F661">
        <v>3</v>
      </c>
      <c r="G661">
        <v>120</v>
      </c>
      <c r="H661">
        <v>360</v>
      </c>
      <c r="I661">
        <v>50</v>
      </c>
      <c r="J661">
        <v>150</v>
      </c>
      <c r="K661">
        <v>210</v>
      </c>
      <c r="L661" t="s">
        <v>86</v>
      </c>
      <c r="M661" t="s">
        <v>30</v>
      </c>
      <c r="N661" t="s">
        <v>51</v>
      </c>
      <c r="O661">
        <v>25.69</v>
      </c>
      <c r="P661">
        <v>26.14</v>
      </c>
      <c r="Q661">
        <v>12.37</v>
      </c>
      <c r="R661">
        <v>17.43</v>
      </c>
      <c r="S661">
        <v>0.82</v>
      </c>
      <c r="T661">
        <v>10.64</v>
      </c>
      <c r="U661">
        <v>4.22</v>
      </c>
      <c r="V661">
        <v>0.95</v>
      </c>
      <c r="W661">
        <v>111.74</v>
      </c>
      <c r="X661" t="s">
        <v>32</v>
      </c>
      <c r="Y661" t="s">
        <v>33</v>
      </c>
    </row>
    <row r="662" spans="1:25" x14ac:dyDescent="0.3">
      <c r="A662">
        <v>661</v>
      </c>
      <c r="B662" t="s">
        <v>132</v>
      </c>
      <c r="C662" t="s">
        <v>349</v>
      </c>
      <c r="D662" t="s">
        <v>54</v>
      </c>
      <c r="E662" t="s">
        <v>28</v>
      </c>
      <c r="F662">
        <v>2</v>
      </c>
      <c r="G662">
        <v>120</v>
      </c>
      <c r="H662">
        <v>240</v>
      </c>
      <c r="I662">
        <v>50</v>
      </c>
      <c r="J662">
        <v>100</v>
      </c>
      <c r="K662">
        <v>140</v>
      </c>
      <c r="L662" t="s">
        <v>55</v>
      </c>
      <c r="M662" t="s">
        <v>63</v>
      </c>
      <c r="N662" t="s">
        <v>81</v>
      </c>
      <c r="O662">
        <v>10.07</v>
      </c>
      <c r="P662">
        <v>36.770000000000003</v>
      </c>
      <c r="Q662">
        <v>15.84</v>
      </c>
      <c r="R662">
        <v>5.19</v>
      </c>
      <c r="S662">
        <v>1.47</v>
      </c>
      <c r="T662">
        <v>13.39</v>
      </c>
      <c r="U662">
        <v>5.34</v>
      </c>
      <c r="V662">
        <v>0.24</v>
      </c>
      <c r="W662">
        <v>51.69</v>
      </c>
      <c r="X662" t="s">
        <v>57</v>
      </c>
      <c r="Y662" t="s">
        <v>33</v>
      </c>
    </row>
    <row r="663" spans="1:25" x14ac:dyDescent="0.3">
      <c r="A663">
        <v>662</v>
      </c>
      <c r="B663" t="s">
        <v>147</v>
      </c>
      <c r="C663" t="s">
        <v>167</v>
      </c>
      <c r="D663" t="s">
        <v>49</v>
      </c>
      <c r="E663" t="s">
        <v>50</v>
      </c>
      <c r="F663">
        <v>1</v>
      </c>
      <c r="G663">
        <v>180</v>
      </c>
      <c r="H663">
        <v>180</v>
      </c>
      <c r="I663">
        <v>90</v>
      </c>
      <c r="J663">
        <v>90</v>
      </c>
      <c r="K663">
        <v>90</v>
      </c>
      <c r="L663" t="s">
        <v>55</v>
      </c>
      <c r="M663" t="s">
        <v>38</v>
      </c>
      <c r="N663" t="s">
        <v>81</v>
      </c>
      <c r="O663">
        <v>33.520000000000003</v>
      </c>
      <c r="P663">
        <v>31.38</v>
      </c>
      <c r="Q663">
        <v>8</v>
      </c>
      <c r="R663">
        <v>20.190000000000001</v>
      </c>
      <c r="S663">
        <v>4.6500000000000004</v>
      </c>
      <c r="T663">
        <v>11.72</v>
      </c>
      <c r="U663">
        <v>4.82</v>
      </c>
      <c r="V663">
        <v>0.82</v>
      </c>
      <c r="W663">
        <v>-25.1</v>
      </c>
      <c r="X663" t="s">
        <v>32</v>
      </c>
      <c r="Y663" t="s">
        <v>33</v>
      </c>
    </row>
    <row r="664" spans="1:25" x14ac:dyDescent="0.3">
      <c r="A664">
        <v>663</v>
      </c>
      <c r="B664" t="s">
        <v>325</v>
      </c>
      <c r="C664" t="s">
        <v>530</v>
      </c>
      <c r="D664" t="s">
        <v>109</v>
      </c>
      <c r="E664" t="s">
        <v>50</v>
      </c>
      <c r="F664">
        <v>1</v>
      </c>
      <c r="G664">
        <v>150</v>
      </c>
      <c r="H664">
        <v>150</v>
      </c>
      <c r="I664">
        <v>70</v>
      </c>
      <c r="J664">
        <v>70</v>
      </c>
      <c r="K664">
        <v>80</v>
      </c>
      <c r="L664" t="s">
        <v>55</v>
      </c>
      <c r="M664" t="s">
        <v>38</v>
      </c>
      <c r="N664" t="s">
        <v>31</v>
      </c>
      <c r="O664">
        <v>38.39</v>
      </c>
      <c r="P664">
        <v>32.9</v>
      </c>
      <c r="Q664">
        <v>19.649999999999999</v>
      </c>
      <c r="R664">
        <v>14.89</v>
      </c>
      <c r="S664">
        <v>4.1900000000000004</v>
      </c>
      <c r="T664">
        <v>5.41</v>
      </c>
      <c r="U664">
        <v>7.6</v>
      </c>
      <c r="V664">
        <v>1.69</v>
      </c>
      <c r="W664">
        <v>-44.72</v>
      </c>
      <c r="X664" t="s">
        <v>57</v>
      </c>
      <c r="Y664" t="s">
        <v>33</v>
      </c>
    </row>
    <row r="665" spans="1:25" x14ac:dyDescent="0.3">
      <c r="A665">
        <v>664</v>
      </c>
      <c r="B665" t="s">
        <v>198</v>
      </c>
      <c r="C665" t="s">
        <v>447</v>
      </c>
      <c r="D665" t="s">
        <v>49</v>
      </c>
      <c r="E665" t="s">
        <v>50</v>
      </c>
      <c r="F665">
        <v>1</v>
      </c>
      <c r="G665">
        <v>180</v>
      </c>
      <c r="H665">
        <v>180</v>
      </c>
      <c r="I665">
        <v>90</v>
      </c>
      <c r="J665">
        <v>90</v>
      </c>
      <c r="K665">
        <v>90</v>
      </c>
      <c r="L665" t="s">
        <v>86</v>
      </c>
      <c r="M665" t="s">
        <v>38</v>
      </c>
      <c r="N665" t="s">
        <v>51</v>
      </c>
      <c r="O665">
        <v>25.16</v>
      </c>
      <c r="P665">
        <v>32.4</v>
      </c>
      <c r="Q665">
        <v>13.56</v>
      </c>
      <c r="R665">
        <v>4.24</v>
      </c>
      <c r="S665">
        <v>0.55000000000000004</v>
      </c>
      <c r="T665">
        <v>2.56</v>
      </c>
      <c r="U665">
        <v>1.59</v>
      </c>
      <c r="V665">
        <v>2.85</v>
      </c>
      <c r="W665">
        <v>7.09</v>
      </c>
      <c r="X665" t="s">
        <v>57</v>
      </c>
      <c r="Y665" t="s">
        <v>33</v>
      </c>
    </row>
    <row r="666" spans="1:25" x14ac:dyDescent="0.3">
      <c r="A666">
        <v>665</v>
      </c>
      <c r="B666" t="s">
        <v>161</v>
      </c>
      <c r="C666" t="s">
        <v>495</v>
      </c>
      <c r="D666" t="s">
        <v>89</v>
      </c>
      <c r="E666" t="s">
        <v>28</v>
      </c>
      <c r="F666">
        <v>3</v>
      </c>
      <c r="G666">
        <v>180</v>
      </c>
      <c r="H666">
        <v>540</v>
      </c>
      <c r="I666">
        <v>75</v>
      </c>
      <c r="J666">
        <v>225</v>
      </c>
      <c r="K666">
        <v>315</v>
      </c>
      <c r="L666" t="s">
        <v>37</v>
      </c>
      <c r="M666" t="s">
        <v>30</v>
      </c>
      <c r="N666" t="s">
        <v>46</v>
      </c>
      <c r="O666">
        <v>33.020000000000003</v>
      </c>
      <c r="P666">
        <v>51.56</v>
      </c>
      <c r="Q666">
        <v>5.33</v>
      </c>
      <c r="R666">
        <v>34.11</v>
      </c>
      <c r="S666">
        <v>4.74</v>
      </c>
      <c r="T666">
        <v>10.199999999999999</v>
      </c>
      <c r="U666">
        <v>6.04</v>
      </c>
      <c r="V666">
        <v>1.45</v>
      </c>
      <c r="W666">
        <v>168.55</v>
      </c>
      <c r="X666" t="s">
        <v>66</v>
      </c>
      <c r="Y666" t="s">
        <v>40</v>
      </c>
    </row>
    <row r="667" spans="1:25" x14ac:dyDescent="0.3">
      <c r="A667">
        <v>666</v>
      </c>
      <c r="B667" t="s">
        <v>75</v>
      </c>
      <c r="C667" t="s">
        <v>377</v>
      </c>
      <c r="D667" t="s">
        <v>27</v>
      </c>
      <c r="E667" t="s">
        <v>28</v>
      </c>
      <c r="F667">
        <v>3</v>
      </c>
      <c r="G667">
        <v>200</v>
      </c>
      <c r="H667">
        <v>600</v>
      </c>
      <c r="I667">
        <v>90</v>
      </c>
      <c r="J667">
        <v>270</v>
      </c>
      <c r="K667">
        <v>330</v>
      </c>
      <c r="L667" t="s">
        <v>44</v>
      </c>
      <c r="M667" t="s">
        <v>30</v>
      </c>
      <c r="N667" t="s">
        <v>46</v>
      </c>
      <c r="O667">
        <v>33.020000000000003</v>
      </c>
      <c r="P667">
        <v>25.25</v>
      </c>
      <c r="Q667">
        <v>8.81</v>
      </c>
      <c r="R667">
        <v>26.25</v>
      </c>
      <c r="S667">
        <v>1.98</v>
      </c>
      <c r="T667">
        <v>7.44</v>
      </c>
      <c r="U667">
        <v>7.05</v>
      </c>
      <c r="V667">
        <v>2.2599999999999998</v>
      </c>
      <c r="W667">
        <v>217.94</v>
      </c>
      <c r="X667" t="s">
        <v>66</v>
      </c>
      <c r="Y667" t="s">
        <v>33</v>
      </c>
    </row>
    <row r="668" spans="1:25" x14ac:dyDescent="0.3">
      <c r="A668">
        <v>667</v>
      </c>
      <c r="B668" t="s">
        <v>154</v>
      </c>
      <c r="C668" t="s">
        <v>525</v>
      </c>
      <c r="D668" t="s">
        <v>54</v>
      </c>
      <c r="E668" t="s">
        <v>28</v>
      </c>
      <c r="F668">
        <v>2</v>
      </c>
      <c r="G668">
        <v>120</v>
      </c>
      <c r="H668">
        <v>240</v>
      </c>
      <c r="I668">
        <v>50</v>
      </c>
      <c r="J668">
        <v>100</v>
      </c>
      <c r="K668">
        <v>140</v>
      </c>
      <c r="L668" t="s">
        <v>37</v>
      </c>
      <c r="M668" t="s">
        <v>63</v>
      </c>
      <c r="N668" t="s">
        <v>90</v>
      </c>
      <c r="O668">
        <v>15.49</v>
      </c>
      <c r="P668">
        <v>34.700000000000003</v>
      </c>
      <c r="Q668">
        <v>5.18</v>
      </c>
      <c r="R668">
        <v>18.149999999999999</v>
      </c>
      <c r="S668">
        <v>2.72</v>
      </c>
      <c r="T668">
        <v>14.64</v>
      </c>
      <c r="U668">
        <v>2.83</v>
      </c>
      <c r="V668">
        <v>0.68</v>
      </c>
      <c r="W668">
        <v>45.61</v>
      </c>
      <c r="X668" t="s">
        <v>32</v>
      </c>
      <c r="Y668" t="s">
        <v>40</v>
      </c>
    </row>
    <row r="669" spans="1:25" x14ac:dyDescent="0.3">
      <c r="A669">
        <v>668</v>
      </c>
      <c r="B669" t="s">
        <v>166</v>
      </c>
      <c r="C669" t="s">
        <v>248</v>
      </c>
      <c r="D669" t="s">
        <v>62</v>
      </c>
      <c r="E669" t="s">
        <v>28</v>
      </c>
      <c r="F669">
        <v>1</v>
      </c>
      <c r="G669">
        <v>250</v>
      </c>
      <c r="H669">
        <v>250</v>
      </c>
      <c r="I669">
        <v>110</v>
      </c>
      <c r="J669">
        <v>110</v>
      </c>
      <c r="K669">
        <v>140</v>
      </c>
      <c r="L669" t="s">
        <v>44</v>
      </c>
      <c r="M669" t="s">
        <v>63</v>
      </c>
      <c r="N669" t="s">
        <v>31</v>
      </c>
      <c r="O669">
        <v>24.3</v>
      </c>
      <c r="P669">
        <v>59.37</v>
      </c>
      <c r="Q669">
        <v>8</v>
      </c>
      <c r="R669">
        <v>23.78</v>
      </c>
      <c r="S669">
        <v>1.1599999999999999</v>
      </c>
      <c r="T669">
        <v>6.24</v>
      </c>
      <c r="U669">
        <v>3.37</v>
      </c>
      <c r="V669">
        <v>1.88</v>
      </c>
      <c r="W669">
        <v>11.9</v>
      </c>
      <c r="X669" t="s">
        <v>32</v>
      </c>
      <c r="Y669" t="s">
        <v>33</v>
      </c>
    </row>
    <row r="670" spans="1:25" x14ac:dyDescent="0.3">
      <c r="A670">
        <v>669</v>
      </c>
      <c r="B670" t="s">
        <v>113</v>
      </c>
      <c r="C670" t="s">
        <v>418</v>
      </c>
      <c r="D670" t="s">
        <v>109</v>
      </c>
      <c r="E670" t="s">
        <v>50</v>
      </c>
      <c r="F670">
        <v>3</v>
      </c>
      <c r="G670">
        <v>150</v>
      </c>
      <c r="H670">
        <v>450</v>
      </c>
      <c r="I670">
        <v>70</v>
      </c>
      <c r="J670">
        <v>210</v>
      </c>
      <c r="K670">
        <v>240</v>
      </c>
      <c r="L670" t="s">
        <v>55</v>
      </c>
      <c r="M670" t="s">
        <v>38</v>
      </c>
      <c r="N670" t="s">
        <v>31</v>
      </c>
      <c r="O670">
        <v>23.96</v>
      </c>
      <c r="P670">
        <v>15.05</v>
      </c>
      <c r="Q670">
        <v>15.4</v>
      </c>
      <c r="R670">
        <v>5.98</v>
      </c>
      <c r="S670">
        <v>2.87</v>
      </c>
      <c r="T670">
        <v>7.53</v>
      </c>
      <c r="U670">
        <v>7.68</v>
      </c>
      <c r="V670">
        <v>2.5</v>
      </c>
      <c r="W670">
        <v>159.03</v>
      </c>
      <c r="X670" t="s">
        <v>57</v>
      </c>
      <c r="Y670" t="s">
        <v>40</v>
      </c>
    </row>
    <row r="671" spans="1:25" x14ac:dyDescent="0.3">
      <c r="A671">
        <v>670</v>
      </c>
      <c r="B671" t="s">
        <v>531</v>
      </c>
      <c r="C671" t="s">
        <v>129</v>
      </c>
      <c r="D671" t="s">
        <v>62</v>
      </c>
      <c r="E671" t="s">
        <v>28</v>
      </c>
      <c r="F671">
        <v>4</v>
      </c>
      <c r="G671">
        <v>250</v>
      </c>
      <c r="H671">
        <v>1000</v>
      </c>
      <c r="I671">
        <v>110</v>
      </c>
      <c r="J671">
        <v>440</v>
      </c>
      <c r="K671">
        <v>560</v>
      </c>
      <c r="L671" t="s">
        <v>55</v>
      </c>
      <c r="M671" t="s">
        <v>38</v>
      </c>
      <c r="N671" t="s">
        <v>31</v>
      </c>
      <c r="O671">
        <v>20.100000000000001</v>
      </c>
      <c r="P671">
        <v>16.86</v>
      </c>
      <c r="Q671">
        <v>10.050000000000001</v>
      </c>
      <c r="R671">
        <v>25.6</v>
      </c>
      <c r="S671">
        <v>4.4000000000000004</v>
      </c>
      <c r="T671">
        <v>9.6999999999999993</v>
      </c>
      <c r="U671">
        <v>7.46</v>
      </c>
      <c r="V671">
        <v>0.56999999999999995</v>
      </c>
      <c r="W671">
        <v>465.26</v>
      </c>
      <c r="X671" t="s">
        <v>57</v>
      </c>
      <c r="Y671" t="s">
        <v>33</v>
      </c>
    </row>
    <row r="672" spans="1:25" x14ac:dyDescent="0.3">
      <c r="A672">
        <v>671</v>
      </c>
      <c r="B672" t="s">
        <v>291</v>
      </c>
      <c r="C672" t="s">
        <v>204</v>
      </c>
      <c r="D672" t="s">
        <v>89</v>
      </c>
      <c r="E672" t="s">
        <v>28</v>
      </c>
      <c r="F672">
        <v>2</v>
      </c>
      <c r="G672">
        <v>180</v>
      </c>
      <c r="H672">
        <v>360</v>
      </c>
      <c r="I672">
        <v>75</v>
      </c>
      <c r="J672">
        <v>150</v>
      </c>
      <c r="K672">
        <v>210</v>
      </c>
      <c r="L672" t="s">
        <v>44</v>
      </c>
      <c r="M672" t="s">
        <v>38</v>
      </c>
      <c r="N672" t="s">
        <v>81</v>
      </c>
      <c r="O672">
        <v>30.17</v>
      </c>
      <c r="P672">
        <v>30.32</v>
      </c>
      <c r="Q672">
        <v>18.13</v>
      </c>
      <c r="R672">
        <v>17.27</v>
      </c>
      <c r="S672">
        <v>2.54</v>
      </c>
      <c r="T672">
        <v>2.2599999999999998</v>
      </c>
      <c r="U672">
        <v>5.23</v>
      </c>
      <c r="V672">
        <v>0.6</v>
      </c>
      <c r="W672">
        <v>103.48</v>
      </c>
      <c r="X672" t="s">
        <v>66</v>
      </c>
      <c r="Y672" t="s">
        <v>40</v>
      </c>
    </row>
    <row r="673" spans="1:25" x14ac:dyDescent="0.3">
      <c r="A673">
        <v>672</v>
      </c>
      <c r="B673" t="s">
        <v>293</v>
      </c>
      <c r="C673" t="s">
        <v>313</v>
      </c>
      <c r="D673" t="s">
        <v>54</v>
      </c>
      <c r="E673" t="s">
        <v>28</v>
      </c>
      <c r="F673">
        <v>2</v>
      </c>
      <c r="G673">
        <v>120</v>
      </c>
      <c r="H673">
        <v>240</v>
      </c>
      <c r="I673">
        <v>50</v>
      </c>
      <c r="J673">
        <v>100</v>
      </c>
      <c r="K673">
        <v>140</v>
      </c>
      <c r="L673" t="s">
        <v>55</v>
      </c>
      <c r="M673" t="s">
        <v>45</v>
      </c>
      <c r="N673" t="s">
        <v>81</v>
      </c>
      <c r="O673">
        <v>24.12</v>
      </c>
      <c r="P673">
        <v>43.12</v>
      </c>
      <c r="Q673">
        <v>10.66</v>
      </c>
      <c r="R673">
        <v>1.56</v>
      </c>
      <c r="S673">
        <v>1.63</v>
      </c>
      <c r="T673">
        <v>10.5</v>
      </c>
      <c r="U673">
        <v>7.91</v>
      </c>
      <c r="V673">
        <v>1.1100000000000001</v>
      </c>
      <c r="W673">
        <v>39.39</v>
      </c>
      <c r="X673" t="s">
        <v>66</v>
      </c>
      <c r="Y673" t="s">
        <v>33</v>
      </c>
    </row>
    <row r="674" spans="1:25" x14ac:dyDescent="0.3">
      <c r="A674">
        <v>673</v>
      </c>
      <c r="B674" t="s">
        <v>91</v>
      </c>
      <c r="C674" t="s">
        <v>96</v>
      </c>
      <c r="D674" t="s">
        <v>43</v>
      </c>
      <c r="E674" t="s">
        <v>43</v>
      </c>
      <c r="F674">
        <v>3</v>
      </c>
      <c r="G674">
        <v>80</v>
      </c>
      <c r="H674">
        <v>240</v>
      </c>
      <c r="I674">
        <v>30</v>
      </c>
      <c r="J674">
        <v>90</v>
      </c>
      <c r="K674">
        <v>150</v>
      </c>
      <c r="L674" t="s">
        <v>86</v>
      </c>
      <c r="M674" t="s">
        <v>56</v>
      </c>
      <c r="N674" t="s">
        <v>81</v>
      </c>
      <c r="O674">
        <v>30.01</v>
      </c>
      <c r="P674">
        <v>16.190000000000001</v>
      </c>
      <c r="Q674">
        <v>18.11</v>
      </c>
      <c r="R674">
        <v>7.16</v>
      </c>
      <c r="S674">
        <v>2.23</v>
      </c>
      <c r="T674">
        <v>8.6300000000000008</v>
      </c>
      <c r="U674">
        <v>1.04</v>
      </c>
      <c r="V674">
        <v>1.02</v>
      </c>
      <c r="W674">
        <v>65.61</v>
      </c>
      <c r="X674" t="s">
        <v>32</v>
      </c>
      <c r="Y674" t="s">
        <v>33</v>
      </c>
    </row>
    <row r="675" spans="1:25" x14ac:dyDescent="0.3">
      <c r="A675">
        <v>674</v>
      </c>
      <c r="B675" t="s">
        <v>256</v>
      </c>
      <c r="C675" t="s">
        <v>511</v>
      </c>
      <c r="D675" t="s">
        <v>89</v>
      </c>
      <c r="E675" t="s">
        <v>28</v>
      </c>
      <c r="F675">
        <v>1</v>
      </c>
      <c r="G675">
        <v>180</v>
      </c>
      <c r="H675">
        <v>180</v>
      </c>
      <c r="I675">
        <v>75</v>
      </c>
      <c r="J675">
        <v>75</v>
      </c>
      <c r="K675">
        <v>105</v>
      </c>
      <c r="L675" t="s">
        <v>44</v>
      </c>
      <c r="M675" t="s">
        <v>63</v>
      </c>
      <c r="N675" t="s">
        <v>90</v>
      </c>
      <c r="O675">
        <v>20.8</v>
      </c>
      <c r="P675">
        <v>35.89</v>
      </c>
      <c r="Q675">
        <v>19.170000000000002</v>
      </c>
      <c r="R675">
        <v>18.47</v>
      </c>
      <c r="S675">
        <v>2.98</v>
      </c>
      <c r="T675">
        <v>6.62</v>
      </c>
      <c r="U675">
        <v>2.16</v>
      </c>
      <c r="V675">
        <v>0.42</v>
      </c>
      <c r="W675">
        <v>-1.51</v>
      </c>
      <c r="X675" t="s">
        <v>66</v>
      </c>
      <c r="Y675" t="s">
        <v>33</v>
      </c>
    </row>
    <row r="676" spans="1:25" x14ac:dyDescent="0.3">
      <c r="A676">
        <v>675</v>
      </c>
      <c r="B676" t="s">
        <v>414</v>
      </c>
      <c r="C676" t="s">
        <v>42</v>
      </c>
      <c r="D676" t="s">
        <v>109</v>
      </c>
      <c r="E676" t="s">
        <v>50</v>
      </c>
      <c r="F676">
        <v>4</v>
      </c>
      <c r="G676">
        <v>150</v>
      </c>
      <c r="H676">
        <v>600</v>
      </c>
      <c r="I676">
        <v>70</v>
      </c>
      <c r="J676">
        <v>280</v>
      </c>
      <c r="K676">
        <v>320</v>
      </c>
      <c r="L676" t="s">
        <v>86</v>
      </c>
      <c r="M676" t="s">
        <v>38</v>
      </c>
      <c r="N676" t="s">
        <v>31</v>
      </c>
      <c r="O676">
        <v>35.9</v>
      </c>
      <c r="P676">
        <v>37.729999999999997</v>
      </c>
      <c r="Q676">
        <v>7.89</v>
      </c>
      <c r="R676">
        <v>23.68</v>
      </c>
      <c r="S676">
        <v>3.09</v>
      </c>
      <c r="T676">
        <v>3</v>
      </c>
      <c r="U676">
        <v>1.84</v>
      </c>
      <c r="V676">
        <v>0.83</v>
      </c>
      <c r="W676">
        <v>206.04</v>
      </c>
      <c r="X676" t="s">
        <v>32</v>
      </c>
      <c r="Y676" t="s">
        <v>33</v>
      </c>
    </row>
    <row r="677" spans="1:25" x14ac:dyDescent="0.3">
      <c r="A677">
        <v>676</v>
      </c>
      <c r="B677" t="s">
        <v>383</v>
      </c>
      <c r="C677" t="s">
        <v>439</v>
      </c>
      <c r="D677" t="s">
        <v>36</v>
      </c>
      <c r="E677" t="s">
        <v>28</v>
      </c>
      <c r="F677">
        <v>3</v>
      </c>
      <c r="G677">
        <v>220</v>
      </c>
      <c r="H677">
        <v>660</v>
      </c>
      <c r="I677">
        <v>100</v>
      </c>
      <c r="J677">
        <v>300</v>
      </c>
      <c r="K677">
        <v>360</v>
      </c>
      <c r="L677" t="s">
        <v>37</v>
      </c>
      <c r="M677" t="s">
        <v>63</v>
      </c>
      <c r="N677" t="s">
        <v>51</v>
      </c>
      <c r="O677">
        <v>19.829999999999998</v>
      </c>
      <c r="P677">
        <v>28.01</v>
      </c>
      <c r="Q677">
        <v>11.48</v>
      </c>
      <c r="R677">
        <v>4.16</v>
      </c>
      <c r="S677">
        <v>4.67</v>
      </c>
      <c r="T677">
        <v>6.83</v>
      </c>
      <c r="U677">
        <v>4.05</v>
      </c>
      <c r="V677">
        <v>1.31</v>
      </c>
      <c r="W677">
        <v>279.66000000000003</v>
      </c>
      <c r="X677" t="s">
        <v>66</v>
      </c>
      <c r="Y677" t="s">
        <v>33</v>
      </c>
    </row>
    <row r="678" spans="1:25" x14ac:dyDescent="0.3">
      <c r="A678">
        <v>677</v>
      </c>
      <c r="B678" t="s">
        <v>491</v>
      </c>
      <c r="C678" t="s">
        <v>217</v>
      </c>
      <c r="D678" t="s">
        <v>27</v>
      </c>
      <c r="E678" t="s">
        <v>28</v>
      </c>
      <c r="F678">
        <v>1</v>
      </c>
      <c r="G678">
        <v>200</v>
      </c>
      <c r="H678">
        <v>200</v>
      </c>
      <c r="I678">
        <v>90</v>
      </c>
      <c r="J678">
        <v>90</v>
      </c>
      <c r="K678">
        <v>110</v>
      </c>
      <c r="L678" t="s">
        <v>44</v>
      </c>
      <c r="M678" t="s">
        <v>45</v>
      </c>
      <c r="N678" t="s">
        <v>51</v>
      </c>
      <c r="O678">
        <v>14.07</v>
      </c>
      <c r="P678">
        <v>37.92</v>
      </c>
      <c r="Q678">
        <v>16.829999999999998</v>
      </c>
      <c r="R678">
        <v>26.74</v>
      </c>
      <c r="S678">
        <v>1.6</v>
      </c>
      <c r="T678">
        <v>14.97</v>
      </c>
      <c r="U678">
        <v>7</v>
      </c>
      <c r="V678">
        <v>0.9</v>
      </c>
      <c r="W678">
        <v>-10.029999999999999</v>
      </c>
      <c r="X678" t="s">
        <v>66</v>
      </c>
      <c r="Y678" t="s">
        <v>40</v>
      </c>
    </row>
    <row r="679" spans="1:25" x14ac:dyDescent="0.3">
      <c r="A679">
        <v>678</v>
      </c>
      <c r="B679" t="s">
        <v>452</v>
      </c>
      <c r="C679" t="s">
        <v>474</v>
      </c>
      <c r="D679" t="s">
        <v>49</v>
      </c>
      <c r="E679" t="s">
        <v>50</v>
      </c>
      <c r="F679">
        <v>4</v>
      </c>
      <c r="G679">
        <v>180</v>
      </c>
      <c r="H679">
        <v>720</v>
      </c>
      <c r="I679">
        <v>90</v>
      </c>
      <c r="J679">
        <v>360</v>
      </c>
      <c r="K679">
        <v>360</v>
      </c>
      <c r="L679" t="s">
        <v>37</v>
      </c>
      <c r="M679" t="s">
        <v>56</v>
      </c>
      <c r="N679" t="s">
        <v>51</v>
      </c>
      <c r="O679">
        <v>26.63</v>
      </c>
      <c r="P679">
        <v>32.409999999999997</v>
      </c>
      <c r="Q679">
        <v>10.220000000000001</v>
      </c>
      <c r="R679">
        <v>0.11</v>
      </c>
      <c r="S679">
        <v>0.61</v>
      </c>
      <c r="T679">
        <v>8.85</v>
      </c>
      <c r="U679">
        <v>1.8</v>
      </c>
      <c r="V679">
        <v>2.29</v>
      </c>
      <c r="W679">
        <v>277.08</v>
      </c>
      <c r="X679" t="s">
        <v>57</v>
      </c>
      <c r="Y679" t="s">
        <v>33</v>
      </c>
    </row>
    <row r="680" spans="1:25" x14ac:dyDescent="0.3">
      <c r="A680">
        <v>679</v>
      </c>
      <c r="B680" t="s">
        <v>91</v>
      </c>
      <c r="C680" t="s">
        <v>532</v>
      </c>
      <c r="D680" t="s">
        <v>36</v>
      </c>
      <c r="E680" t="s">
        <v>28</v>
      </c>
      <c r="F680">
        <v>1</v>
      </c>
      <c r="G680">
        <v>220</v>
      </c>
      <c r="H680">
        <v>220</v>
      </c>
      <c r="I680">
        <v>100</v>
      </c>
      <c r="J680">
        <v>100</v>
      </c>
      <c r="K680">
        <v>120</v>
      </c>
      <c r="L680" t="s">
        <v>44</v>
      </c>
      <c r="M680" t="s">
        <v>63</v>
      </c>
      <c r="N680" t="s">
        <v>31</v>
      </c>
      <c r="O680">
        <v>39.18</v>
      </c>
      <c r="P680">
        <v>43.24</v>
      </c>
      <c r="Q680">
        <v>15.11</v>
      </c>
      <c r="R680">
        <v>19.78</v>
      </c>
      <c r="S680">
        <v>4.01</v>
      </c>
      <c r="T680">
        <v>12.26</v>
      </c>
      <c r="U680">
        <v>7.21</v>
      </c>
      <c r="V680">
        <v>0.59</v>
      </c>
      <c r="W680">
        <v>-21.38</v>
      </c>
      <c r="X680" t="s">
        <v>66</v>
      </c>
      <c r="Y680" t="s">
        <v>40</v>
      </c>
    </row>
    <row r="681" spans="1:25" x14ac:dyDescent="0.3">
      <c r="A681">
        <v>680</v>
      </c>
      <c r="B681" t="s">
        <v>328</v>
      </c>
      <c r="C681" t="s">
        <v>375</v>
      </c>
      <c r="D681" t="s">
        <v>27</v>
      </c>
      <c r="E681" t="s">
        <v>28</v>
      </c>
      <c r="F681">
        <v>1</v>
      </c>
      <c r="G681">
        <v>200</v>
      </c>
      <c r="H681">
        <v>200</v>
      </c>
      <c r="I681">
        <v>90</v>
      </c>
      <c r="J681">
        <v>90</v>
      </c>
      <c r="K681">
        <v>110</v>
      </c>
      <c r="L681" t="s">
        <v>29</v>
      </c>
      <c r="M681" t="s">
        <v>38</v>
      </c>
      <c r="N681" t="s">
        <v>90</v>
      </c>
      <c r="O681">
        <v>23.21</v>
      </c>
      <c r="P681">
        <v>52.76</v>
      </c>
      <c r="Q681">
        <v>11.39</v>
      </c>
      <c r="R681">
        <v>3.47</v>
      </c>
      <c r="S681">
        <v>3.65</v>
      </c>
      <c r="T681">
        <v>6.58</v>
      </c>
      <c r="U681">
        <v>1.07</v>
      </c>
      <c r="V681">
        <v>0.37</v>
      </c>
      <c r="W681">
        <v>7.5</v>
      </c>
      <c r="X681" t="s">
        <v>57</v>
      </c>
      <c r="Y681" t="s">
        <v>40</v>
      </c>
    </row>
    <row r="682" spans="1:25" x14ac:dyDescent="0.3">
      <c r="A682">
        <v>681</v>
      </c>
      <c r="B682" t="s">
        <v>71</v>
      </c>
      <c r="C682" t="s">
        <v>516</v>
      </c>
      <c r="D682" t="s">
        <v>43</v>
      </c>
      <c r="E682" t="s">
        <v>43</v>
      </c>
      <c r="F682">
        <v>1</v>
      </c>
      <c r="G682">
        <v>80</v>
      </c>
      <c r="H682">
        <v>80</v>
      </c>
      <c r="I682">
        <v>30</v>
      </c>
      <c r="J682">
        <v>30</v>
      </c>
      <c r="K682">
        <v>50</v>
      </c>
      <c r="L682" t="s">
        <v>44</v>
      </c>
      <c r="M682" t="s">
        <v>38</v>
      </c>
      <c r="N682" t="s">
        <v>81</v>
      </c>
      <c r="O682">
        <v>32.78</v>
      </c>
      <c r="P682">
        <v>27.65</v>
      </c>
      <c r="Q682">
        <v>15.34</v>
      </c>
      <c r="R682">
        <v>34.340000000000003</v>
      </c>
      <c r="S682">
        <v>1.53</v>
      </c>
      <c r="T682">
        <v>7.4</v>
      </c>
      <c r="U682">
        <v>7.32</v>
      </c>
      <c r="V682">
        <v>1.75</v>
      </c>
      <c r="W682">
        <v>-78.11</v>
      </c>
      <c r="X682" t="s">
        <v>32</v>
      </c>
      <c r="Y682" t="s">
        <v>33</v>
      </c>
    </row>
    <row r="683" spans="1:25" x14ac:dyDescent="0.3">
      <c r="A683">
        <v>682</v>
      </c>
      <c r="B683" t="s">
        <v>264</v>
      </c>
      <c r="C683" t="s">
        <v>88</v>
      </c>
      <c r="D683" t="s">
        <v>62</v>
      </c>
      <c r="E683" t="s">
        <v>28</v>
      </c>
      <c r="F683">
        <v>2</v>
      </c>
      <c r="G683">
        <v>250</v>
      </c>
      <c r="H683">
        <v>500</v>
      </c>
      <c r="I683">
        <v>110</v>
      </c>
      <c r="J683">
        <v>220</v>
      </c>
      <c r="K683">
        <v>280</v>
      </c>
      <c r="L683" t="s">
        <v>55</v>
      </c>
      <c r="M683" t="s">
        <v>38</v>
      </c>
      <c r="N683" t="s">
        <v>39</v>
      </c>
      <c r="O683">
        <v>38.81</v>
      </c>
      <c r="P683">
        <v>18.82</v>
      </c>
      <c r="Q683">
        <v>15.81</v>
      </c>
      <c r="R683">
        <v>13.62</v>
      </c>
      <c r="S683">
        <v>2.93</v>
      </c>
      <c r="T683">
        <v>5.03</v>
      </c>
      <c r="U683">
        <v>6.39</v>
      </c>
      <c r="V683">
        <v>2.63</v>
      </c>
      <c r="W683">
        <v>175.96</v>
      </c>
      <c r="X683" t="s">
        <v>66</v>
      </c>
      <c r="Y683" t="s">
        <v>33</v>
      </c>
    </row>
    <row r="684" spans="1:25" x14ac:dyDescent="0.3">
      <c r="A684">
        <v>683</v>
      </c>
      <c r="B684" t="s">
        <v>95</v>
      </c>
      <c r="C684" t="s">
        <v>509</v>
      </c>
      <c r="D684" t="s">
        <v>43</v>
      </c>
      <c r="E684" t="s">
        <v>43</v>
      </c>
      <c r="F684">
        <v>4</v>
      </c>
      <c r="G684">
        <v>80</v>
      </c>
      <c r="H684">
        <v>320</v>
      </c>
      <c r="I684">
        <v>30</v>
      </c>
      <c r="J684">
        <v>120</v>
      </c>
      <c r="K684">
        <v>200</v>
      </c>
      <c r="L684" t="s">
        <v>86</v>
      </c>
      <c r="M684" t="s">
        <v>38</v>
      </c>
      <c r="N684" t="s">
        <v>46</v>
      </c>
      <c r="O684">
        <v>14.43</v>
      </c>
      <c r="P684">
        <v>49.34</v>
      </c>
      <c r="Q684">
        <v>11.05</v>
      </c>
      <c r="R684">
        <v>26.44</v>
      </c>
      <c r="S684">
        <v>2.35</v>
      </c>
      <c r="T684">
        <v>5.76</v>
      </c>
      <c r="U684">
        <v>5.58</v>
      </c>
      <c r="V684">
        <v>2.71</v>
      </c>
      <c r="W684">
        <v>82.34</v>
      </c>
      <c r="X684" t="s">
        <v>32</v>
      </c>
      <c r="Y684" t="s">
        <v>33</v>
      </c>
    </row>
    <row r="685" spans="1:25" x14ac:dyDescent="0.3">
      <c r="A685">
        <v>684</v>
      </c>
      <c r="B685" t="s">
        <v>396</v>
      </c>
      <c r="C685" t="s">
        <v>92</v>
      </c>
      <c r="D685" t="s">
        <v>49</v>
      </c>
      <c r="E685" t="s">
        <v>50</v>
      </c>
      <c r="F685">
        <v>4</v>
      </c>
      <c r="G685">
        <v>180</v>
      </c>
      <c r="H685">
        <v>720</v>
      </c>
      <c r="I685">
        <v>90</v>
      </c>
      <c r="J685">
        <v>360</v>
      </c>
      <c r="K685">
        <v>360</v>
      </c>
      <c r="L685" t="s">
        <v>37</v>
      </c>
      <c r="M685" t="s">
        <v>63</v>
      </c>
      <c r="N685" t="s">
        <v>90</v>
      </c>
      <c r="O685">
        <v>20.059999999999999</v>
      </c>
      <c r="P685">
        <v>55.04</v>
      </c>
      <c r="Q685">
        <v>10.28</v>
      </c>
      <c r="R685">
        <v>33.69</v>
      </c>
      <c r="S685">
        <v>2.35</v>
      </c>
      <c r="T685">
        <v>6.06</v>
      </c>
      <c r="U685">
        <v>1.02</v>
      </c>
      <c r="V685">
        <v>2.57</v>
      </c>
      <c r="W685">
        <v>228.93</v>
      </c>
      <c r="X685" t="s">
        <v>66</v>
      </c>
      <c r="Y685" t="s">
        <v>40</v>
      </c>
    </row>
    <row r="686" spans="1:25" x14ac:dyDescent="0.3">
      <c r="A686">
        <v>685</v>
      </c>
      <c r="B686" t="s">
        <v>215</v>
      </c>
      <c r="C686" t="s">
        <v>78</v>
      </c>
      <c r="D686" t="s">
        <v>54</v>
      </c>
      <c r="E686" t="s">
        <v>28</v>
      </c>
      <c r="F686">
        <v>1</v>
      </c>
      <c r="G686">
        <v>120</v>
      </c>
      <c r="H686">
        <v>120</v>
      </c>
      <c r="I686">
        <v>50</v>
      </c>
      <c r="J686">
        <v>50</v>
      </c>
      <c r="K686">
        <v>70</v>
      </c>
      <c r="L686" t="s">
        <v>29</v>
      </c>
      <c r="M686" t="s">
        <v>56</v>
      </c>
      <c r="N686" t="s">
        <v>81</v>
      </c>
      <c r="O686">
        <v>36.909999999999997</v>
      </c>
      <c r="P686">
        <v>42.31</v>
      </c>
      <c r="Q686">
        <v>11.89</v>
      </c>
      <c r="R686">
        <v>33.880000000000003</v>
      </c>
      <c r="S686">
        <v>3.24</v>
      </c>
      <c r="T686">
        <v>9.81</v>
      </c>
      <c r="U686">
        <v>7.71</v>
      </c>
      <c r="V686">
        <v>2.44</v>
      </c>
      <c r="W686">
        <v>-78.19</v>
      </c>
      <c r="X686" t="s">
        <v>66</v>
      </c>
      <c r="Y686" t="s">
        <v>33</v>
      </c>
    </row>
    <row r="687" spans="1:25" x14ac:dyDescent="0.3">
      <c r="A687">
        <v>686</v>
      </c>
      <c r="B687" t="s">
        <v>79</v>
      </c>
      <c r="C687" t="s">
        <v>234</v>
      </c>
      <c r="D687" t="s">
        <v>43</v>
      </c>
      <c r="E687" t="s">
        <v>43</v>
      </c>
      <c r="F687">
        <v>4</v>
      </c>
      <c r="G687">
        <v>80</v>
      </c>
      <c r="H687">
        <v>320</v>
      </c>
      <c r="I687">
        <v>30</v>
      </c>
      <c r="J687">
        <v>120</v>
      </c>
      <c r="K687">
        <v>200</v>
      </c>
      <c r="L687" t="s">
        <v>29</v>
      </c>
      <c r="M687" t="s">
        <v>63</v>
      </c>
      <c r="N687" t="s">
        <v>81</v>
      </c>
      <c r="O687">
        <v>28.82</v>
      </c>
      <c r="P687">
        <v>43.71</v>
      </c>
      <c r="Q687">
        <v>10.050000000000001</v>
      </c>
      <c r="R687">
        <v>27.1</v>
      </c>
      <c r="S687">
        <v>1.17</v>
      </c>
      <c r="T687">
        <v>13.6</v>
      </c>
      <c r="U687">
        <v>5.12</v>
      </c>
      <c r="V687">
        <v>2.41</v>
      </c>
      <c r="W687">
        <v>68.02</v>
      </c>
      <c r="X687" t="s">
        <v>57</v>
      </c>
      <c r="Y687" t="s">
        <v>40</v>
      </c>
    </row>
    <row r="688" spans="1:25" x14ac:dyDescent="0.3">
      <c r="A688">
        <v>687</v>
      </c>
      <c r="B688" t="s">
        <v>533</v>
      </c>
      <c r="C688" t="s">
        <v>74</v>
      </c>
      <c r="D688" t="s">
        <v>62</v>
      </c>
      <c r="E688" t="s">
        <v>28</v>
      </c>
      <c r="F688">
        <v>3</v>
      </c>
      <c r="G688">
        <v>250</v>
      </c>
      <c r="H688">
        <v>750</v>
      </c>
      <c r="I688">
        <v>110</v>
      </c>
      <c r="J688">
        <v>330</v>
      </c>
      <c r="K688">
        <v>420</v>
      </c>
      <c r="L688" t="s">
        <v>29</v>
      </c>
      <c r="M688" t="s">
        <v>30</v>
      </c>
      <c r="N688" t="s">
        <v>51</v>
      </c>
      <c r="O688">
        <v>30.35</v>
      </c>
      <c r="P688">
        <v>47.91</v>
      </c>
      <c r="Q688">
        <v>8.5500000000000007</v>
      </c>
      <c r="R688">
        <v>4.4000000000000004</v>
      </c>
      <c r="S688">
        <v>2.27</v>
      </c>
      <c r="T688">
        <v>8.1999999999999993</v>
      </c>
      <c r="U688">
        <v>7.07</v>
      </c>
      <c r="V688">
        <v>2.36</v>
      </c>
      <c r="W688">
        <v>308.89</v>
      </c>
      <c r="X688" t="s">
        <v>66</v>
      </c>
      <c r="Y688" t="s">
        <v>40</v>
      </c>
    </row>
    <row r="689" spans="1:25" x14ac:dyDescent="0.3">
      <c r="A689">
        <v>688</v>
      </c>
      <c r="B689" t="s">
        <v>440</v>
      </c>
      <c r="C689" t="s">
        <v>528</v>
      </c>
      <c r="D689" t="s">
        <v>62</v>
      </c>
      <c r="E689" t="s">
        <v>28</v>
      </c>
      <c r="F689">
        <v>3</v>
      </c>
      <c r="G689">
        <v>250</v>
      </c>
      <c r="H689">
        <v>750</v>
      </c>
      <c r="I689">
        <v>110</v>
      </c>
      <c r="J689">
        <v>330</v>
      </c>
      <c r="K689">
        <v>420</v>
      </c>
      <c r="L689" t="s">
        <v>37</v>
      </c>
      <c r="M689" t="s">
        <v>56</v>
      </c>
      <c r="N689" t="s">
        <v>81</v>
      </c>
      <c r="O689">
        <v>26.26</v>
      </c>
      <c r="P689">
        <v>53.16</v>
      </c>
      <c r="Q689">
        <v>12.43</v>
      </c>
      <c r="R689">
        <v>16.68</v>
      </c>
      <c r="S689">
        <v>3.19</v>
      </c>
      <c r="T689">
        <v>12.14</v>
      </c>
      <c r="U689">
        <v>4.01</v>
      </c>
      <c r="V689">
        <v>2.65</v>
      </c>
      <c r="W689">
        <v>289.48</v>
      </c>
      <c r="X689" t="s">
        <v>57</v>
      </c>
      <c r="Y689" t="s">
        <v>33</v>
      </c>
    </row>
    <row r="690" spans="1:25" x14ac:dyDescent="0.3">
      <c r="A690">
        <v>689</v>
      </c>
      <c r="B690" t="s">
        <v>207</v>
      </c>
      <c r="C690" t="s">
        <v>169</v>
      </c>
      <c r="D690" t="s">
        <v>89</v>
      </c>
      <c r="E690" t="s">
        <v>28</v>
      </c>
      <c r="F690">
        <v>1</v>
      </c>
      <c r="G690">
        <v>180</v>
      </c>
      <c r="H690">
        <v>180</v>
      </c>
      <c r="I690">
        <v>75</v>
      </c>
      <c r="J690">
        <v>75</v>
      </c>
      <c r="K690">
        <v>105</v>
      </c>
      <c r="L690" t="s">
        <v>86</v>
      </c>
      <c r="M690" t="s">
        <v>30</v>
      </c>
      <c r="N690" t="s">
        <v>81</v>
      </c>
      <c r="O690">
        <v>17.43</v>
      </c>
      <c r="P690">
        <v>34.53</v>
      </c>
      <c r="Q690">
        <v>18.68</v>
      </c>
      <c r="R690">
        <v>14.49</v>
      </c>
      <c r="S690">
        <v>0.56999999999999995</v>
      </c>
      <c r="T690">
        <v>3.06</v>
      </c>
      <c r="U690">
        <v>5.27</v>
      </c>
      <c r="V690">
        <v>2.5</v>
      </c>
      <c r="W690">
        <v>8.4700000000000006</v>
      </c>
      <c r="X690" t="s">
        <v>57</v>
      </c>
      <c r="Y690" t="s">
        <v>33</v>
      </c>
    </row>
    <row r="691" spans="1:25" x14ac:dyDescent="0.3">
      <c r="A691">
        <v>690</v>
      </c>
      <c r="B691" t="s">
        <v>236</v>
      </c>
      <c r="C691" t="s">
        <v>534</v>
      </c>
      <c r="D691" t="s">
        <v>109</v>
      </c>
      <c r="E691" t="s">
        <v>50</v>
      </c>
      <c r="F691">
        <v>2</v>
      </c>
      <c r="G691">
        <v>150</v>
      </c>
      <c r="H691">
        <v>300</v>
      </c>
      <c r="I691">
        <v>70</v>
      </c>
      <c r="J691">
        <v>140</v>
      </c>
      <c r="K691">
        <v>160</v>
      </c>
      <c r="L691" t="s">
        <v>29</v>
      </c>
      <c r="M691" t="s">
        <v>38</v>
      </c>
      <c r="N691" t="s">
        <v>90</v>
      </c>
      <c r="O691">
        <v>16.989999999999998</v>
      </c>
      <c r="P691">
        <v>46.68</v>
      </c>
      <c r="Q691">
        <v>9.17</v>
      </c>
      <c r="R691">
        <v>11.86</v>
      </c>
      <c r="S691">
        <v>3.7</v>
      </c>
      <c r="T691">
        <v>2.19</v>
      </c>
      <c r="U691">
        <v>3.36</v>
      </c>
      <c r="V691">
        <v>2.1800000000000002</v>
      </c>
      <c r="W691">
        <v>63.87</v>
      </c>
      <c r="X691" t="s">
        <v>66</v>
      </c>
      <c r="Y691" t="s">
        <v>33</v>
      </c>
    </row>
    <row r="692" spans="1:25" x14ac:dyDescent="0.3">
      <c r="A692">
        <v>691</v>
      </c>
      <c r="B692" t="s">
        <v>388</v>
      </c>
      <c r="C692" t="s">
        <v>169</v>
      </c>
      <c r="D692" t="s">
        <v>109</v>
      </c>
      <c r="E692" t="s">
        <v>50</v>
      </c>
      <c r="F692">
        <v>3</v>
      </c>
      <c r="G692">
        <v>150</v>
      </c>
      <c r="H692">
        <v>450</v>
      </c>
      <c r="I692">
        <v>70</v>
      </c>
      <c r="J692">
        <v>210</v>
      </c>
      <c r="K692">
        <v>240</v>
      </c>
      <c r="L692" t="s">
        <v>44</v>
      </c>
      <c r="M692" t="s">
        <v>45</v>
      </c>
      <c r="N692" t="s">
        <v>51</v>
      </c>
      <c r="O692">
        <v>24.5</v>
      </c>
      <c r="P692">
        <v>59.29</v>
      </c>
      <c r="Q692">
        <v>9.5</v>
      </c>
      <c r="R692">
        <v>0.05</v>
      </c>
      <c r="S692">
        <v>1.99</v>
      </c>
      <c r="T692">
        <v>9.94</v>
      </c>
      <c r="U692">
        <v>2.17</v>
      </c>
      <c r="V692">
        <v>2.78</v>
      </c>
      <c r="W692">
        <v>129.78</v>
      </c>
      <c r="X692" t="s">
        <v>57</v>
      </c>
      <c r="Y692" t="s">
        <v>33</v>
      </c>
    </row>
    <row r="693" spans="1:25" x14ac:dyDescent="0.3">
      <c r="A693">
        <v>692</v>
      </c>
      <c r="B693" t="s">
        <v>58</v>
      </c>
      <c r="C693" t="s">
        <v>535</v>
      </c>
      <c r="D693" t="s">
        <v>27</v>
      </c>
      <c r="E693" t="s">
        <v>28</v>
      </c>
      <c r="F693">
        <v>1</v>
      </c>
      <c r="G693">
        <v>200</v>
      </c>
      <c r="H693">
        <v>200</v>
      </c>
      <c r="I693">
        <v>90</v>
      </c>
      <c r="J693">
        <v>90</v>
      </c>
      <c r="K693">
        <v>110</v>
      </c>
      <c r="L693" t="s">
        <v>44</v>
      </c>
      <c r="M693" t="s">
        <v>56</v>
      </c>
      <c r="N693" t="s">
        <v>81</v>
      </c>
      <c r="O693">
        <v>29.55</v>
      </c>
      <c r="P693">
        <v>18.05</v>
      </c>
      <c r="Q693">
        <v>7.06</v>
      </c>
      <c r="R693">
        <v>21.28</v>
      </c>
      <c r="S693">
        <v>4.03</v>
      </c>
      <c r="T693">
        <v>7.22</v>
      </c>
      <c r="U693">
        <v>4.1399999999999997</v>
      </c>
      <c r="V693">
        <v>1.99</v>
      </c>
      <c r="W693">
        <v>16.68</v>
      </c>
      <c r="X693" t="s">
        <v>57</v>
      </c>
      <c r="Y693" t="s">
        <v>40</v>
      </c>
    </row>
    <row r="694" spans="1:25" x14ac:dyDescent="0.3">
      <c r="A694">
        <v>693</v>
      </c>
      <c r="B694" t="s">
        <v>488</v>
      </c>
      <c r="C694" t="s">
        <v>428</v>
      </c>
      <c r="D694" t="s">
        <v>36</v>
      </c>
      <c r="E694" t="s">
        <v>28</v>
      </c>
      <c r="F694">
        <v>3</v>
      </c>
      <c r="G694">
        <v>220</v>
      </c>
      <c r="H694">
        <v>660</v>
      </c>
      <c r="I694">
        <v>100</v>
      </c>
      <c r="J694">
        <v>300</v>
      </c>
      <c r="K694">
        <v>360</v>
      </c>
      <c r="L694" t="s">
        <v>29</v>
      </c>
      <c r="M694" t="s">
        <v>45</v>
      </c>
      <c r="N694" t="s">
        <v>46</v>
      </c>
      <c r="O694">
        <v>25.41</v>
      </c>
      <c r="P694">
        <v>46.45</v>
      </c>
      <c r="Q694">
        <v>7.96</v>
      </c>
      <c r="R694">
        <v>8.85</v>
      </c>
      <c r="S694">
        <v>4.1399999999999997</v>
      </c>
      <c r="T694">
        <v>8.3800000000000008</v>
      </c>
      <c r="U694">
        <v>7.83</v>
      </c>
      <c r="V694">
        <v>1.93</v>
      </c>
      <c r="W694">
        <v>249.05</v>
      </c>
      <c r="X694" t="s">
        <v>66</v>
      </c>
      <c r="Y694" t="s">
        <v>33</v>
      </c>
    </row>
    <row r="695" spans="1:25" x14ac:dyDescent="0.3">
      <c r="A695">
        <v>694</v>
      </c>
      <c r="B695" t="s">
        <v>421</v>
      </c>
      <c r="C695" t="s">
        <v>427</v>
      </c>
      <c r="D695" t="s">
        <v>49</v>
      </c>
      <c r="E695" t="s">
        <v>50</v>
      </c>
      <c r="F695">
        <v>3</v>
      </c>
      <c r="G695">
        <v>180</v>
      </c>
      <c r="H695">
        <v>540</v>
      </c>
      <c r="I695">
        <v>90</v>
      </c>
      <c r="J695">
        <v>270</v>
      </c>
      <c r="K695">
        <v>270</v>
      </c>
      <c r="L695" t="s">
        <v>44</v>
      </c>
      <c r="M695" t="s">
        <v>38</v>
      </c>
      <c r="N695" t="s">
        <v>39</v>
      </c>
      <c r="O695">
        <v>38.979999999999997</v>
      </c>
      <c r="P695">
        <v>55.46</v>
      </c>
      <c r="Q695">
        <v>16.850000000000001</v>
      </c>
      <c r="R695">
        <v>23.56</v>
      </c>
      <c r="S695">
        <v>1.41</v>
      </c>
      <c r="T695">
        <v>14.66</v>
      </c>
      <c r="U695">
        <v>2.42</v>
      </c>
      <c r="V695">
        <v>2.57</v>
      </c>
      <c r="W695">
        <v>114.09</v>
      </c>
      <c r="X695" t="s">
        <v>32</v>
      </c>
      <c r="Y695" t="s">
        <v>40</v>
      </c>
    </row>
    <row r="696" spans="1:25" x14ac:dyDescent="0.3">
      <c r="A696">
        <v>695</v>
      </c>
      <c r="B696" t="s">
        <v>488</v>
      </c>
      <c r="C696" t="s">
        <v>532</v>
      </c>
      <c r="D696" t="s">
        <v>89</v>
      </c>
      <c r="E696" t="s">
        <v>28</v>
      </c>
      <c r="F696">
        <v>2</v>
      </c>
      <c r="G696">
        <v>180</v>
      </c>
      <c r="H696">
        <v>360</v>
      </c>
      <c r="I696">
        <v>75</v>
      </c>
      <c r="J696">
        <v>150</v>
      </c>
      <c r="K696">
        <v>210</v>
      </c>
      <c r="L696" t="s">
        <v>86</v>
      </c>
      <c r="M696" t="s">
        <v>38</v>
      </c>
      <c r="N696" t="s">
        <v>81</v>
      </c>
      <c r="O696">
        <v>17.22</v>
      </c>
      <c r="P696">
        <v>55.47</v>
      </c>
      <c r="Q696">
        <v>5.49</v>
      </c>
      <c r="R696">
        <v>10.86</v>
      </c>
      <c r="S696">
        <v>2.98</v>
      </c>
      <c r="T696">
        <v>2</v>
      </c>
      <c r="U696">
        <v>3.87</v>
      </c>
      <c r="V696">
        <v>1.87</v>
      </c>
      <c r="W696">
        <v>110.24</v>
      </c>
      <c r="X696" t="s">
        <v>32</v>
      </c>
      <c r="Y696" t="s">
        <v>33</v>
      </c>
    </row>
    <row r="697" spans="1:25" x14ac:dyDescent="0.3">
      <c r="A697">
        <v>696</v>
      </c>
      <c r="B697" t="s">
        <v>440</v>
      </c>
      <c r="C697" t="s">
        <v>536</v>
      </c>
      <c r="D697" t="s">
        <v>49</v>
      </c>
      <c r="E697" t="s">
        <v>50</v>
      </c>
      <c r="F697">
        <v>2</v>
      </c>
      <c r="G697">
        <v>180</v>
      </c>
      <c r="H697">
        <v>360</v>
      </c>
      <c r="I697">
        <v>90</v>
      </c>
      <c r="J697">
        <v>180</v>
      </c>
      <c r="K697">
        <v>180</v>
      </c>
      <c r="L697" t="s">
        <v>37</v>
      </c>
      <c r="M697" t="s">
        <v>38</v>
      </c>
      <c r="N697" t="s">
        <v>39</v>
      </c>
      <c r="O697">
        <v>31.66</v>
      </c>
      <c r="P697">
        <v>41.65</v>
      </c>
      <c r="Q697">
        <v>8.5500000000000007</v>
      </c>
      <c r="R697">
        <v>7.16</v>
      </c>
      <c r="S697">
        <v>0.83</v>
      </c>
      <c r="T697">
        <v>7.56</v>
      </c>
      <c r="U697">
        <v>2.91</v>
      </c>
      <c r="V697">
        <v>1.68</v>
      </c>
      <c r="W697">
        <v>78</v>
      </c>
      <c r="X697" t="s">
        <v>32</v>
      </c>
      <c r="Y697" t="s">
        <v>40</v>
      </c>
    </row>
    <row r="698" spans="1:25" x14ac:dyDescent="0.3">
      <c r="A698">
        <v>697</v>
      </c>
      <c r="B698" t="s">
        <v>264</v>
      </c>
      <c r="C698" t="s">
        <v>422</v>
      </c>
      <c r="D698" t="s">
        <v>27</v>
      </c>
      <c r="E698" t="s">
        <v>28</v>
      </c>
      <c r="F698">
        <v>1</v>
      </c>
      <c r="G698">
        <v>200</v>
      </c>
      <c r="H698">
        <v>200</v>
      </c>
      <c r="I698">
        <v>90</v>
      </c>
      <c r="J698">
        <v>90</v>
      </c>
      <c r="K698">
        <v>110</v>
      </c>
      <c r="L698" t="s">
        <v>86</v>
      </c>
      <c r="M698" t="s">
        <v>30</v>
      </c>
      <c r="N698" t="s">
        <v>51</v>
      </c>
      <c r="O698">
        <v>16.23</v>
      </c>
      <c r="P698">
        <v>30.44</v>
      </c>
      <c r="Q698">
        <v>9.6999999999999993</v>
      </c>
      <c r="R698">
        <v>23.17</v>
      </c>
      <c r="S698">
        <v>1.23</v>
      </c>
      <c r="T698">
        <v>11.15</v>
      </c>
      <c r="U698">
        <v>5.68</v>
      </c>
      <c r="V698">
        <v>0.91</v>
      </c>
      <c r="W698">
        <v>11.49</v>
      </c>
      <c r="X698" t="s">
        <v>57</v>
      </c>
      <c r="Y698" t="s">
        <v>40</v>
      </c>
    </row>
    <row r="699" spans="1:25" x14ac:dyDescent="0.3">
      <c r="A699">
        <v>698</v>
      </c>
      <c r="B699" t="s">
        <v>209</v>
      </c>
      <c r="C699" t="s">
        <v>278</v>
      </c>
      <c r="D699" t="s">
        <v>54</v>
      </c>
      <c r="E699" t="s">
        <v>28</v>
      </c>
      <c r="F699">
        <v>4</v>
      </c>
      <c r="G699">
        <v>120</v>
      </c>
      <c r="H699">
        <v>480</v>
      </c>
      <c r="I699">
        <v>50</v>
      </c>
      <c r="J699">
        <v>200</v>
      </c>
      <c r="K699">
        <v>280</v>
      </c>
      <c r="L699" t="s">
        <v>44</v>
      </c>
      <c r="M699" t="s">
        <v>45</v>
      </c>
      <c r="N699" t="s">
        <v>46</v>
      </c>
      <c r="O699">
        <v>22.86</v>
      </c>
      <c r="P699">
        <v>20.21</v>
      </c>
      <c r="Q699">
        <v>18.170000000000002</v>
      </c>
      <c r="R699">
        <v>17.88</v>
      </c>
      <c r="S699">
        <v>3.86</v>
      </c>
      <c r="T699">
        <v>12.46</v>
      </c>
      <c r="U699">
        <v>4.05</v>
      </c>
      <c r="V699">
        <v>1.22</v>
      </c>
      <c r="W699">
        <v>179.29</v>
      </c>
      <c r="X699" t="s">
        <v>66</v>
      </c>
      <c r="Y699" t="s">
        <v>33</v>
      </c>
    </row>
    <row r="700" spans="1:25" x14ac:dyDescent="0.3">
      <c r="A700">
        <v>699</v>
      </c>
      <c r="B700" t="s">
        <v>188</v>
      </c>
      <c r="C700" t="s">
        <v>537</v>
      </c>
      <c r="D700" t="s">
        <v>27</v>
      </c>
      <c r="E700" t="s">
        <v>28</v>
      </c>
      <c r="F700">
        <v>2</v>
      </c>
      <c r="G700">
        <v>200</v>
      </c>
      <c r="H700">
        <v>400</v>
      </c>
      <c r="I700">
        <v>90</v>
      </c>
      <c r="J700">
        <v>180</v>
      </c>
      <c r="K700">
        <v>220</v>
      </c>
      <c r="L700" t="s">
        <v>44</v>
      </c>
      <c r="M700" t="s">
        <v>63</v>
      </c>
      <c r="N700" t="s">
        <v>39</v>
      </c>
      <c r="O700">
        <v>36.869999999999997</v>
      </c>
      <c r="P700">
        <v>29.86</v>
      </c>
      <c r="Q700">
        <v>14.44</v>
      </c>
      <c r="R700">
        <v>1.51</v>
      </c>
      <c r="S700">
        <v>0.76</v>
      </c>
      <c r="T700">
        <v>8.7899999999999991</v>
      </c>
      <c r="U700">
        <v>2.79</v>
      </c>
      <c r="V700">
        <v>2.41</v>
      </c>
      <c r="W700">
        <v>122.57</v>
      </c>
      <c r="X700" t="s">
        <v>57</v>
      </c>
      <c r="Y700" t="s">
        <v>33</v>
      </c>
    </row>
    <row r="701" spans="1:25" x14ac:dyDescent="0.3">
      <c r="A701">
        <v>700</v>
      </c>
      <c r="B701" t="s">
        <v>424</v>
      </c>
      <c r="C701" t="s">
        <v>111</v>
      </c>
      <c r="D701" t="s">
        <v>109</v>
      </c>
      <c r="E701" t="s">
        <v>50</v>
      </c>
      <c r="F701">
        <v>2</v>
      </c>
      <c r="G701">
        <v>150</v>
      </c>
      <c r="H701">
        <v>300</v>
      </c>
      <c r="I701">
        <v>70</v>
      </c>
      <c r="J701">
        <v>140</v>
      </c>
      <c r="K701">
        <v>160</v>
      </c>
      <c r="L701" t="s">
        <v>86</v>
      </c>
      <c r="M701" t="s">
        <v>56</v>
      </c>
      <c r="N701" t="s">
        <v>51</v>
      </c>
      <c r="O701">
        <v>38.700000000000003</v>
      </c>
      <c r="P701">
        <v>28.16</v>
      </c>
      <c r="Q701">
        <v>15.16</v>
      </c>
      <c r="R701">
        <v>15.88</v>
      </c>
      <c r="S701">
        <v>4.68</v>
      </c>
      <c r="T701">
        <v>11.68</v>
      </c>
      <c r="U701">
        <v>6.71</v>
      </c>
      <c r="V701">
        <v>0.18</v>
      </c>
      <c r="W701">
        <v>38.85</v>
      </c>
      <c r="X701" t="s">
        <v>66</v>
      </c>
      <c r="Y701" t="s">
        <v>33</v>
      </c>
    </row>
    <row r="702" spans="1:25" x14ac:dyDescent="0.3">
      <c r="A702">
        <v>701</v>
      </c>
      <c r="B702" t="s">
        <v>157</v>
      </c>
      <c r="C702" t="s">
        <v>429</v>
      </c>
      <c r="D702" t="s">
        <v>109</v>
      </c>
      <c r="E702" t="s">
        <v>50</v>
      </c>
      <c r="F702">
        <v>2</v>
      </c>
      <c r="G702">
        <v>150</v>
      </c>
      <c r="H702">
        <v>300</v>
      </c>
      <c r="I702">
        <v>70</v>
      </c>
      <c r="J702">
        <v>140</v>
      </c>
      <c r="K702">
        <v>160</v>
      </c>
      <c r="L702" t="s">
        <v>29</v>
      </c>
      <c r="M702" t="s">
        <v>45</v>
      </c>
      <c r="N702" t="s">
        <v>31</v>
      </c>
      <c r="O702">
        <v>36.89</v>
      </c>
      <c r="P702">
        <v>59.47</v>
      </c>
      <c r="Q702">
        <v>6.84</v>
      </c>
      <c r="R702">
        <v>22.52</v>
      </c>
      <c r="S702">
        <v>3.12</v>
      </c>
      <c r="T702">
        <v>11.62</v>
      </c>
      <c r="U702">
        <v>1.34</v>
      </c>
      <c r="V702">
        <v>1.59</v>
      </c>
      <c r="W702">
        <v>16.61</v>
      </c>
      <c r="X702" t="s">
        <v>32</v>
      </c>
      <c r="Y702" t="s">
        <v>33</v>
      </c>
    </row>
    <row r="703" spans="1:25" x14ac:dyDescent="0.3">
      <c r="A703">
        <v>702</v>
      </c>
      <c r="B703" t="s">
        <v>507</v>
      </c>
      <c r="C703" t="s">
        <v>380</v>
      </c>
      <c r="D703" t="s">
        <v>27</v>
      </c>
      <c r="E703" t="s">
        <v>28</v>
      </c>
      <c r="F703">
        <v>1</v>
      </c>
      <c r="G703">
        <v>200</v>
      </c>
      <c r="H703">
        <v>200</v>
      </c>
      <c r="I703">
        <v>90</v>
      </c>
      <c r="J703">
        <v>90</v>
      </c>
      <c r="K703">
        <v>110</v>
      </c>
      <c r="L703" t="s">
        <v>44</v>
      </c>
      <c r="M703" t="s">
        <v>38</v>
      </c>
      <c r="N703" t="s">
        <v>90</v>
      </c>
      <c r="O703">
        <v>30.81</v>
      </c>
      <c r="P703">
        <v>43.79</v>
      </c>
      <c r="Q703">
        <v>17.68</v>
      </c>
      <c r="R703">
        <v>26.5</v>
      </c>
      <c r="S703">
        <v>0.42</v>
      </c>
      <c r="T703">
        <v>4.41</v>
      </c>
      <c r="U703">
        <v>2.2999999999999998</v>
      </c>
      <c r="V703">
        <v>1.84</v>
      </c>
      <c r="W703">
        <v>-17.75</v>
      </c>
      <c r="X703" t="s">
        <v>66</v>
      </c>
      <c r="Y703" t="s">
        <v>33</v>
      </c>
    </row>
    <row r="704" spans="1:25" x14ac:dyDescent="0.3">
      <c r="A704">
        <v>703</v>
      </c>
      <c r="B704" t="s">
        <v>401</v>
      </c>
      <c r="C704" t="s">
        <v>367</v>
      </c>
      <c r="D704" t="s">
        <v>43</v>
      </c>
      <c r="E704" t="s">
        <v>43</v>
      </c>
      <c r="F704">
        <v>3</v>
      </c>
      <c r="G704">
        <v>80</v>
      </c>
      <c r="H704">
        <v>240</v>
      </c>
      <c r="I704">
        <v>30</v>
      </c>
      <c r="J704">
        <v>90</v>
      </c>
      <c r="K704">
        <v>150</v>
      </c>
      <c r="L704" t="s">
        <v>29</v>
      </c>
      <c r="M704" t="s">
        <v>38</v>
      </c>
      <c r="N704" t="s">
        <v>39</v>
      </c>
      <c r="O704">
        <v>18.010000000000002</v>
      </c>
      <c r="P704">
        <v>25.62</v>
      </c>
      <c r="Q704">
        <v>8.8000000000000007</v>
      </c>
      <c r="R704">
        <v>4.83</v>
      </c>
      <c r="S704">
        <v>4.7699999999999996</v>
      </c>
      <c r="T704">
        <v>14.51</v>
      </c>
      <c r="U704">
        <v>4.1500000000000004</v>
      </c>
      <c r="V704">
        <v>2.19</v>
      </c>
      <c r="W704">
        <v>67.12</v>
      </c>
      <c r="X704" t="s">
        <v>32</v>
      </c>
      <c r="Y704" t="s">
        <v>33</v>
      </c>
    </row>
    <row r="705" spans="1:25" x14ac:dyDescent="0.3">
      <c r="A705">
        <v>704</v>
      </c>
      <c r="B705" t="s">
        <v>41</v>
      </c>
      <c r="C705" t="s">
        <v>239</v>
      </c>
      <c r="D705" t="s">
        <v>36</v>
      </c>
      <c r="E705" t="s">
        <v>28</v>
      </c>
      <c r="F705">
        <v>3</v>
      </c>
      <c r="G705">
        <v>220</v>
      </c>
      <c r="H705">
        <v>660</v>
      </c>
      <c r="I705">
        <v>100</v>
      </c>
      <c r="J705">
        <v>300</v>
      </c>
      <c r="K705">
        <v>360</v>
      </c>
      <c r="L705" t="s">
        <v>86</v>
      </c>
      <c r="M705" t="s">
        <v>45</v>
      </c>
      <c r="N705" t="s">
        <v>90</v>
      </c>
      <c r="O705">
        <v>36.770000000000003</v>
      </c>
      <c r="P705">
        <v>26.6</v>
      </c>
      <c r="Q705">
        <v>8.3800000000000008</v>
      </c>
      <c r="R705">
        <v>6.5</v>
      </c>
      <c r="S705">
        <v>2.1800000000000002</v>
      </c>
      <c r="T705">
        <v>10.44</v>
      </c>
      <c r="U705">
        <v>6.39</v>
      </c>
      <c r="V705">
        <v>2.2400000000000002</v>
      </c>
      <c r="W705">
        <v>260.5</v>
      </c>
      <c r="X705" t="s">
        <v>32</v>
      </c>
      <c r="Y705" t="s">
        <v>40</v>
      </c>
    </row>
    <row r="706" spans="1:25" x14ac:dyDescent="0.3">
      <c r="A706">
        <v>705</v>
      </c>
      <c r="B706" t="s">
        <v>340</v>
      </c>
      <c r="C706" t="s">
        <v>416</v>
      </c>
      <c r="D706" t="s">
        <v>54</v>
      </c>
      <c r="E706" t="s">
        <v>28</v>
      </c>
      <c r="F706">
        <v>3</v>
      </c>
      <c r="G706">
        <v>120</v>
      </c>
      <c r="H706">
        <v>360</v>
      </c>
      <c r="I706">
        <v>50</v>
      </c>
      <c r="J706">
        <v>150</v>
      </c>
      <c r="K706">
        <v>210</v>
      </c>
      <c r="L706" t="s">
        <v>29</v>
      </c>
      <c r="M706" t="s">
        <v>38</v>
      </c>
      <c r="N706" t="s">
        <v>51</v>
      </c>
      <c r="O706">
        <v>18.829999999999998</v>
      </c>
      <c r="P706">
        <v>51.7</v>
      </c>
      <c r="Q706">
        <v>16.8</v>
      </c>
      <c r="R706">
        <v>5.96</v>
      </c>
      <c r="S706">
        <v>4.63</v>
      </c>
      <c r="T706">
        <v>4.3</v>
      </c>
      <c r="U706">
        <v>1.87</v>
      </c>
      <c r="V706">
        <v>1.98</v>
      </c>
      <c r="W706">
        <v>103.93</v>
      </c>
      <c r="X706" t="s">
        <v>32</v>
      </c>
      <c r="Y706" t="s">
        <v>40</v>
      </c>
    </row>
    <row r="707" spans="1:25" x14ac:dyDescent="0.3">
      <c r="A707">
        <v>706</v>
      </c>
      <c r="B707" t="s">
        <v>172</v>
      </c>
      <c r="C707" t="s">
        <v>171</v>
      </c>
      <c r="D707" t="s">
        <v>89</v>
      </c>
      <c r="E707" t="s">
        <v>28</v>
      </c>
      <c r="F707">
        <v>1</v>
      </c>
      <c r="G707">
        <v>180</v>
      </c>
      <c r="H707">
        <v>180</v>
      </c>
      <c r="I707">
        <v>75</v>
      </c>
      <c r="J707">
        <v>75</v>
      </c>
      <c r="K707">
        <v>105</v>
      </c>
      <c r="L707" t="s">
        <v>86</v>
      </c>
      <c r="M707" t="s">
        <v>30</v>
      </c>
      <c r="N707" t="s">
        <v>31</v>
      </c>
      <c r="O707">
        <v>18.79</v>
      </c>
      <c r="P707">
        <v>23.76</v>
      </c>
      <c r="Q707">
        <v>17.55</v>
      </c>
      <c r="R707">
        <v>15.59</v>
      </c>
      <c r="S707">
        <v>1.1100000000000001</v>
      </c>
      <c r="T707">
        <v>7.8</v>
      </c>
      <c r="U707">
        <v>7.51</v>
      </c>
      <c r="V707">
        <v>0.49</v>
      </c>
      <c r="W707">
        <v>12.4</v>
      </c>
      <c r="X707" t="s">
        <v>32</v>
      </c>
      <c r="Y707" t="s">
        <v>40</v>
      </c>
    </row>
    <row r="708" spans="1:25" x14ac:dyDescent="0.3">
      <c r="A708">
        <v>707</v>
      </c>
      <c r="B708" t="s">
        <v>404</v>
      </c>
      <c r="C708" t="s">
        <v>464</v>
      </c>
      <c r="D708" t="s">
        <v>49</v>
      </c>
      <c r="E708" t="s">
        <v>50</v>
      </c>
      <c r="F708">
        <v>3</v>
      </c>
      <c r="G708">
        <v>180</v>
      </c>
      <c r="H708">
        <v>540</v>
      </c>
      <c r="I708">
        <v>90</v>
      </c>
      <c r="J708">
        <v>270</v>
      </c>
      <c r="K708">
        <v>270</v>
      </c>
      <c r="L708" t="s">
        <v>86</v>
      </c>
      <c r="M708" t="s">
        <v>45</v>
      </c>
      <c r="N708" t="s">
        <v>51</v>
      </c>
      <c r="O708">
        <v>39.01</v>
      </c>
      <c r="P708">
        <v>56.56</v>
      </c>
      <c r="Q708">
        <v>11.79</v>
      </c>
      <c r="R708">
        <v>0.6</v>
      </c>
      <c r="S708">
        <v>4.17</v>
      </c>
      <c r="T708">
        <v>11.82</v>
      </c>
      <c r="U708">
        <v>1.18</v>
      </c>
      <c r="V708">
        <v>2.14</v>
      </c>
      <c r="W708">
        <v>142.72999999999999</v>
      </c>
      <c r="X708" t="s">
        <v>32</v>
      </c>
      <c r="Y708" t="s">
        <v>40</v>
      </c>
    </row>
    <row r="709" spans="1:25" x14ac:dyDescent="0.3">
      <c r="A709">
        <v>708</v>
      </c>
      <c r="B709" t="s">
        <v>82</v>
      </c>
      <c r="C709" t="s">
        <v>455</v>
      </c>
      <c r="D709" t="s">
        <v>49</v>
      </c>
      <c r="E709" t="s">
        <v>50</v>
      </c>
      <c r="F709">
        <v>3</v>
      </c>
      <c r="G709">
        <v>180</v>
      </c>
      <c r="H709">
        <v>540</v>
      </c>
      <c r="I709">
        <v>90</v>
      </c>
      <c r="J709">
        <v>270</v>
      </c>
      <c r="K709">
        <v>270</v>
      </c>
      <c r="L709" t="s">
        <v>86</v>
      </c>
      <c r="M709" t="s">
        <v>45</v>
      </c>
      <c r="N709" t="s">
        <v>81</v>
      </c>
      <c r="O709">
        <v>15.4</v>
      </c>
      <c r="P709">
        <v>15.2</v>
      </c>
      <c r="Q709">
        <v>6.45</v>
      </c>
      <c r="R709">
        <v>32.68</v>
      </c>
      <c r="S709">
        <v>2.78</v>
      </c>
      <c r="T709">
        <v>7.68</v>
      </c>
      <c r="U709">
        <v>2.35</v>
      </c>
      <c r="V709">
        <v>0.92</v>
      </c>
      <c r="W709">
        <v>186.54</v>
      </c>
      <c r="X709" t="s">
        <v>66</v>
      </c>
      <c r="Y709" t="s">
        <v>40</v>
      </c>
    </row>
    <row r="710" spans="1:25" x14ac:dyDescent="0.3">
      <c r="A710">
        <v>709</v>
      </c>
      <c r="B710" t="s">
        <v>431</v>
      </c>
      <c r="C710" t="s">
        <v>246</v>
      </c>
      <c r="D710" t="s">
        <v>49</v>
      </c>
      <c r="E710" t="s">
        <v>50</v>
      </c>
      <c r="F710">
        <v>2</v>
      </c>
      <c r="G710">
        <v>180</v>
      </c>
      <c r="H710">
        <v>360</v>
      </c>
      <c r="I710">
        <v>90</v>
      </c>
      <c r="J710">
        <v>180</v>
      </c>
      <c r="K710">
        <v>180</v>
      </c>
      <c r="L710" t="s">
        <v>37</v>
      </c>
      <c r="M710" t="s">
        <v>45</v>
      </c>
      <c r="N710" t="s">
        <v>81</v>
      </c>
      <c r="O710">
        <v>24.19</v>
      </c>
      <c r="P710">
        <v>51.15</v>
      </c>
      <c r="Q710">
        <v>17.45</v>
      </c>
      <c r="R710">
        <v>26.2</v>
      </c>
      <c r="S710">
        <v>2.5</v>
      </c>
      <c r="T710">
        <v>2.62</v>
      </c>
      <c r="U710">
        <v>4.97</v>
      </c>
      <c r="V710">
        <v>1.67</v>
      </c>
      <c r="W710">
        <v>49.25</v>
      </c>
      <c r="X710" t="s">
        <v>66</v>
      </c>
      <c r="Y710" t="s">
        <v>33</v>
      </c>
    </row>
    <row r="711" spans="1:25" x14ac:dyDescent="0.3">
      <c r="A711">
        <v>710</v>
      </c>
      <c r="B711" t="s">
        <v>215</v>
      </c>
      <c r="C711" t="s">
        <v>118</v>
      </c>
      <c r="D711" t="s">
        <v>62</v>
      </c>
      <c r="E711" t="s">
        <v>28</v>
      </c>
      <c r="F711">
        <v>1</v>
      </c>
      <c r="G711">
        <v>250</v>
      </c>
      <c r="H711">
        <v>250</v>
      </c>
      <c r="I711">
        <v>110</v>
      </c>
      <c r="J711">
        <v>110</v>
      </c>
      <c r="K711">
        <v>140</v>
      </c>
      <c r="L711" t="s">
        <v>55</v>
      </c>
      <c r="M711" t="s">
        <v>45</v>
      </c>
      <c r="N711" t="s">
        <v>81</v>
      </c>
      <c r="O711">
        <v>17.690000000000001</v>
      </c>
      <c r="P711">
        <v>50.38</v>
      </c>
      <c r="Q711">
        <v>13.06</v>
      </c>
      <c r="R711">
        <v>16.600000000000001</v>
      </c>
      <c r="S711">
        <v>4.4000000000000004</v>
      </c>
      <c r="T711">
        <v>2.2000000000000002</v>
      </c>
      <c r="U711">
        <v>4.12</v>
      </c>
      <c r="V711">
        <v>1.73</v>
      </c>
      <c r="W711">
        <v>29.82</v>
      </c>
      <c r="X711" t="s">
        <v>57</v>
      </c>
      <c r="Y711" t="s">
        <v>33</v>
      </c>
    </row>
    <row r="712" spans="1:25" x14ac:dyDescent="0.3">
      <c r="A712">
        <v>711</v>
      </c>
      <c r="B712" t="s">
        <v>301</v>
      </c>
      <c r="C712" t="s">
        <v>150</v>
      </c>
      <c r="D712" t="s">
        <v>49</v>
      </c>
      <c r="E712" t="s">
        <v>50</v>
      </c>
      <c r="F712">
        <v>3</v>
      </c>
      <c r="G712">
        <v>180</v>
      </c>
      <c r="H712">
        <v>540</v>
      </c>
      <c r="I712">
        <v>90</v>
      </c>
      <c r="J712">
        <v>270</v>
      </c>
      <c r="K712">
        <v>270</v>
      </c>
      <c r="L712" t="s">
        <v>55</v>
      </c>
      <c r="M712" t="s">
        <v>38</v>
      </c>
      <c r="N712" t="s">
        <v>51</v>
      </c>
      <c r="O712">
        <v>20.5</v>
      </c>
      <c r="P712">
        <v>32.700000000000003</v>
      </c>
      <c r="Q712">
        <v>18.57</v>
      </c>
      <c r="R712">
        <v>1.66</v>
      </c>
      <c r="S712">
        <v>2.71</v>
      </c>
      <c r="T712">
        <v>5.4</v>
      </c>
      <c r="U712">
        <v>1.95</v>
      </c>
      <c r="V712">
        <v>1.2</v>
      </c>
      <c r="W712">
        <v>185.31</v>
      </c>
      <c r="X712" t="s">
        <v>66</v>
      </c>
      <c r="Y712" t="s">
        <v>40</v>
      </c>
    </row>
    <row r="713" spans="1:25" x14ac:dyDescent="0.3">
      <c r="A713">
        <v>712</v>
      </c>
      <c r="B713" t="s">
        <v>34</v>
      </c>
      <c r="C713" t="s">
        <v>538</v>
      </c>
      <c r="D713" t="s">
        <v>54</v>
      </c>
      <c r="E713" t="s">
        <v>28</v>
      </c>
      <c r="F713">
        <v>1</v>
      </c>
      <c r="G713">
        <v>120</v>
      </c>
      <c r="H713">
        <v>120</v>
      </c>
      <c r="I713">
        <v>50</v>
      </c>
      <c r="J713">
        <v>50</v>
      </c>
      <c r="K713">
        <v>70</v>
      </c>
      <c r="L713" t="s">
        <v>29</v>
      </c>
      <c r="M713" t="s">
        <v>56</v>
      </c>
      <c r="N713" t="s">
        <v>51</v>
      </c>
      <c r="O713">
        <v>23.74</v>
      </c>
      <c r="P713">
        <v>30.97</v>
      </c>
      <c r="Q713">
        <v>9.4700000000000006</v>
      </c>
      <c r="R713">
        <v>7.21</v>
      </c>
      <c r="S713">
        <v>4.72</v>
      </c>
      <c r="T713">
        <v>7.46</v>
      </c>
      <c r="U713">
        <v>1.0900000000000001</v>
      </c>
      <c r="V713">
        <v>2.11</v>
      </c>
      <c r="W713">
        <v>-16.77</v>
      </c>
      <c r="X713" t="s">
        <v>57</v>
      </c>
      <c r="Y713" t="s">
        <v>33</v>
      </c>
    </row>
    <row r="714" spans="1:25" x14ac:dyDescent="0.3">
      <c r="A714">
        <v>713</v>
      </c>
      <c r="B714" t="s">
        <v>191</v>
      </c>
      <c r="C714" t="s">
        <v>353</v>
      </c>
      <c r="D714" t="s">
        <v>43</v>
      </c>
      <c r="E714" t="s">
        <v>43</v>
      </c>
      <c r="F714">
        <v>1</v>
      </c>
      <c r="G714">
        <v>80</v>
      </c>
      <c r="H714">
        <v>80</v>
      </c>
      <c r="I714">
        <v>30</v>
      </c>
      <c r="J714">
        <v>30</v>
      </c>
      <c r="K714">
        <v>50</v>
      </c>
      <c r="L714" t="s">
        <v>44</v>
      </c>
      <c r="M714" t="s">
        <v>63</v>
      </c>
      <c r="N714" t="s">
        <v>90</v>
      </c>
      <c r="O714">
        <v>22.6</v>
      </c>
      <c r="P714">
        <v>16.45</v>
      </c>
      <c r="Q714">
        <v>10.47</v>
      </c>
      <c r="R714">
        <v>15.82</v>
      </c>
      <c r="S714">
        <v>2.75</v>
      </c>
      <c r="T714">
        <v>10.89</v>
      </c>
      <c r="U714">
        <v>5.0999999999999996</v>
      </c>
      <c r="V714">
        <v>0.8</v>
      </c>
      <c r="W714">
        <v>-34.880000000000003</v>
      </c>
      <c r="X714" t="s">
        <v>32</v>
      </c>
      <c r="Y714" t="s">
        <v>40</v>
      </c>
    </row>
    <row r="715" spans="1:25" x14ac:dyDescent="0.3">
      <c r="A715">
        <v>714</v>
      </c>
      <c r="B715" t="s">
        <v>475</v>
      </c>
      <c r="C715" t="s">
        <v>140</v>
      </c>
      <c r="D715" t="s">
        <v>49</v>
      </c>
      <c r="E715" t="s">
        <v>50</v>
      </c>
      <c r="F715">
        <v>2</v>
      </c>
      <c r="G715">
        <v>180</v>
      </c>
      <c r="H715">
        <v>360</v>
      </c>
      <c r="I715">
        <v>90</v>
      </c>
      <c r="J715">
        <v>180</v>
      </c>
      <c r="K715">
        <v>180</v>
      </c>
      <c r="L715" t="s">
        <v>29</v>
      </c>
      <c r="M715" t="s">
        <v>30</v>
      </c>
      <c r="N715" t="s">
        <v>51</v>
      </c>
      <c r="O715">
        <v>22.4</v>
      </c>
      <c r="P715">
        <v>51.55</v>
      </c>
      <c r="Q715">
        <v>10.91</v>
      </c>
      <c r="R715">
        <v>20.059999999999999</v>
      </c>
      <c r="S715">
        <v>4.3099999999999996</v>
      </c>
      <c r="T715">
        <v>5.0599999999999996</v>
      </c>
      <c r="U715">
        <v>7.36</v>
      </c>
      <c r="V715">
        <v>1.2</v>
      </c>
      <c r="W715">
        <v>57.15</v>
      </c>
      <c r="X715" t="s">
        <v>57</v>
      </c>
      <c r="Y715" t="s">
        <v>33</v>
      </c>
    </row>
    <row r="716" spans="1:25" x14ac:dyDescent="0.3">
      <c r="A716">
        <v>715</v>
      </c>
      <c r="B716" t="s">
        <v>231</v>
      </c>
      <c r="C716" t="s">
        <v>387</v>
      </c>
      <c r="D716" t="s">
        <v>43</v>
      </c>
      <c r="E716" t="s">
        <v>43</v>
      </c>
      <c r="F716">
        <v>2</v>
      </c>
      <c r="G716">
        <v>80</v>
      </c>
      <c r="H716">
        <v>160</v>
      </c>
      <c r="I716">
        <v>30</v>
      </c>
      <c r="J716">
        <v>60</v>
      </c>
      <c r="K716">
        <v>100</v>
      </c>
      <c r="L716" t="s">
        <v>55</v>
      </c>
      <c r="M716" t="s">
        <v>38</v>
      </c>
      <c r="N716" t="s">
        <v>81</v>
      </c>
      <c r="O716">
        <v>19.91</v>
      </c>
      <c r="P716">
        <v>39.56</v>
      </c>
      <c r="Q716">
        <v>5.18</v>
      </c>
      <c r="R716">
        <v>17.22</v>
      </c>
      <c r="S716">
        <v>3.69</v>
      </c>
      <c r="T716">
        <v>5.3</v>
      </c>
      <c r="U716">
        <v>2.4900000000000002</v>
      </c>
      <c r="V716">
        <v>0.72</v>
      </c>
      <c r="W716">
        <v>5.93</v>
      </c>
      <c r="X716" t="s">
        <v>57</v>
      </c>
      <c r="Y716" t="s">
        <v>40</v>
      </c>
    </row>
    <row r="717" spans="1:25" x14ac:dyDescent="0.3">
      <c r="A717">
        <v>716</v>
      </c>
      <c r="B717" t="s">
        <v>243</v>
      </c>
      <c r="C717" t="s">
        <v>59</v>
      </c>
      <c r="D717" t="s">
        <v>54</v>
      </c>
      <c r="E717" t="s">
        <v>28</v>
      </c>
      <c r="F717">
        <v>3</v>
      </c>
      <c r="G717">
        <v>120</v>
      </c>
      <c r="H717">
        <v>360</v>
      </c>
      <c r="I717">
        <v>50</v>
      </c>
      <c r="J717">
        <v>150</v>
      </c>
      <c r="K717">
        <v>210</v>
      </c>
      <c r="L717" t="s">
        <v>86</v>
      </c>
      <c r="M717" t="s">
        <v>38</v>
      </c>
      <c r="N717" t="s">
        <v>31</v>
      </c>
      <c r="O717">
        <v>33.35</v>
      </c>
      <c r="P717">
        <v>28.72</v>
      </c>
      <c r="Q717">
        <v>11.62</v>
      </c>
      <c r="R717">
        <v>22.65</v>
      </c>
      <c r="S717">
        <v>4.42</v>
      </c>
      <c r="T717">
        <v>11.35</v>
      </c>
      <c r="U717">
        <v>2.44</v>
      </c>
      <c r="V717">
        <v>2.54</v>
      </c>
      <c r="W717">
        <v>92.91</v>
      </c>
      <c r="X717" t="s">
        <v>32</v>
      </c>
      <c r="Y717" t="s">
        <v>40</v>
      </c>
    </row>
    <row r="718" spans="1:25" x14ac:dyDescent="0.3">
      <c r="A718">
        <v>717</v>
      </c>
      <c r="B718" t="s">
        <v>325</v>
      </c>
      <c r="C718" t="s">
        <v>131</v>
      </c>
      <c r="D718" t="s">
        <v>27</v>
      </c>
      <c r="E718" t="s">
        <v>28</v>
      </c>
      <c r="F718">
        <v>2</v>
      </c>
      <c r="G718">
        <v>200</v>
      </c>
      <c r="H718">
        <v>400</v>
      </c>
      <c r="I718">
        <v>90</v>
      </c>
      <c r="J718">
        <v>180</v>
      </c>
      <c r="K718">
        <v>220</v>
      </c>
      <c r="L718" t="s">
        <v>37</v>
      </c>
      <c r="M718" t="s">
        <v>38</v>
      </c>
      <c r="N718" t="s">
        <v>51</v>
      </c>
      <c r="O718">
        <v>24.55</v>
      </c>
      <c r="P718">
        <v>21.56</v>
      </c>
      <c r="Q718">
        <v>6.14</v>
      </c>
      <c r="R718">
        <v>12.78</v>
      </c>
      <c r="S718">
        <v>1.29</v>
      </c>
      <c r="T718">
        <v>11.2</v>
      </c>
      <c r="U718">
        <v>3.47</v>
      </c>
      <c r="V718">
        <v>0.9</v>
      </c>
      <c r="W718">
        <v>138.11000000000001</v>
      </c>
      <c r="X718" t="s">
        <v>66</v>
      </c>
      <c r="Y718" t="s">
        <v>40</v>
      </c>
    </row>
    <row r="719" spans="1:25" x14ac:dyDescent="0.3">
      <c r="A719">
        <v>718</v>
      </c>
      <c r="B719" t="s">
        <v>309</v>
      </c>
      <c r="C719" t="s">
        <v>537</v>
      </c>
      <c r="D719" t="s">
        <v>54</v>
      </c>
      <c r="E719" t="s">
        <v>28</v>
      </c>
      <c r="F719">
        <v>2</v>
      </c>
      <c r="G719">
        <v>120</v>
      </c>
      <c r="H719">
        <v>240</v>
      </c>
      <c r="I719">
        <v>50</v>
      </c>
      <c r="J719">
        <v>100</v>
      </c>
      <c r="K719">
        <v>140</v>
      </c>
      <c r="L719" t="s">
        <v>29</v>
      </c>
      <c r="M719" t="s">
        <v>30</v>
      </c>
      <c r="N719" t="s">
        <v>46</v>
      </c>
      <c r="O719">
        <v>24.32</v>
      </c>
      <c r="P719">
        <v>28.46</v>
      </c>
      <c r="Q719">
        <v>9.98</v>
      </c>
      <c r="R719">
        <v>17.940000000000001</v>
      </c>
      <c r="S719">
        <v>1.45</v>
      </c>
      <c r="T719">
        <v>7.91</v>
      </c>
      <c r="U719">
        <v>4.04</v>
      </c>
      <c r="V719">
        <v>2.11</v>
      </c>
      <c r="W719">
        <v>43.79</v>
      </c>
      <c r="X719" t="s">
        <v>57</v>
      </c>
      <c r="Y719" t="s">
        <v>40</v>
      </c>
    </row>
    <row r="720" spans="1:25" x14ac:dyDescent="0.3">
      <c r="A720">
        <v>719</v>
      </c>
      <c r="B720" t="s">
        <v>539</v>
      </c>
      <c r="C720" t="s">
        <v>331</v>
      </c>
      <c r="D720" t="s">
        <v>36</v>
      </c>
      <c r="E720" t="s">
        <v>28</v>
      </c>
      <c r="F720">
        <v>2</v>
      </c>
      <c r="G720">
        <v>220</v>
      </c>
      <c r="H720">
        <v>440</v>
      </c>
      <c r="I720">
        <v>100</v>
      </c>
      <c r="J720">
        <v>200</v>
      </c>
      <c r="K720">
        <v>240</v>
      </c>
      <c r="L720" t="s">
        <v>86</v>
      </c>
      <c r="M720" t="s">
        <v>38</v>
      </c>
      <c r="N720" t="s">
        <v>81</v>
      </c>
      <c r="O720">
        <v>37.380000000000003</v>
      </c>
      <c r="P720">
        <v>31.71</v>
      </c>
      <c r="Q720">
        <v>11.46</v>
      </c>
      <c r="R720">
        <v>17.52</v>
      </c>
      <c r="S720">
        <v>3.75</v>
      </c>
      <c r="T720">
        <v>7.55</v>
      </c>
      <c r="U720">
        <v>7.47</v>
      </c>
      <c r="V720">
        <v>0.69</v>
      </c>
      <c r="W720">
        <v>122.47</v>
      </c>
      <c r="X720" t="s">
        <v>66</v>
      </c>
      <c r="Y720" t="s">
        <v>40</v>
      </c>
    </row>
    <row r="721" spans="1:25" x14ac:dyDescent="0.3">
      <c r="A721">
        <v>720</v>
      </c>
      <c r="B721" t="s">
        <v>350</v>
      </c>
      <c r="C721" t="s">
        <v>535</v>
      </c>
      <c r="D721" t="s">
        <v>89</v>
      </c>
      <c r="E721" t="s">
        <v>28</v>
      </c>
      <c r="F721">
        <v>3</v>
      </c>
      <c r="G721">
        <v>180</v>
      </c>
      <c r="H721">
        <v>540</v>
      </c>
      <c r="I721">
        <v>75</v>
      </c>
      <c r="J721">
        <v>225</v>
      </c>
      <c r="K721">
        <v>315</v>
      </c>
      <c r="L721" t="s">
        <v>37</v>
      </c>
      <c r="M721" t="s">
        <v>45</v>
      </c>
      <c r="N721" t="s">
        <v>46</v>
      </c>
      <c r="O721">
        <v>38.799999999999997</v>
      </c>
      <c r="P721">
        <v>44.21</v>
      </c>
      <c r="Q721">
        <v>16.29</v>
      </c>
      <c r="R721">
        <v>28.54</v>
      </c>
      <c r="S721">
        <v>4.54</v>
      </c>
      <c r="T721">
        <v>9.35</v>
      </c>
      <c r="U721">
        <v>4.93</v>
      </c>
      <c r="V721">
        <v>2.54</v>
      </c>
      <c r="W721">
        <v>165.8</v>
      </c>
      <c r="X721" t="s">
        <v>32</v>
      </c>
      <c r="Y721" t="s">
        <v>40</v>
      </c>
    </row>
    <row r="722" spans="1:25" x14ac:dyDescent="0.3">
      <c r="A722">
        <v>721</v>
      </c>
      <c r="B722" t="s">
        <v>97</v>
      </c>
      <c r="C722" t="s">
        <v>540</v>
      </c>
      <c r="D722" t="s">
        <v>43</v>
      </c>
      <c r="E722" t="s">
        <v>43</v>
      </c>
      <c r="F722">
        <v>1</v>
      </c>
      <c r="G722">
        <v>80</v>
      </c>
      <c r="H722">
        <v>80</v>
      </c>
      <c r="I722">
        <v>30</v>
      </c>
      <c r="J722">
        <v>30</v>
      </c>
      <c r="K722">
        <v>50</v>
      </c>
      <c r="L722" t="s">
        <v>44</v>
      </c>
      <c r="M722" t="s">
        <v>30</v>
      </c>
      <c r="N722" t="s">
        <v>46</v>
      </c>
      <c r="O722">
        <v>22.89</v>
      </c>
      <c r="P722">
        <v>21.67</v>
      </c>
      <c r="Q722">
        <v>10.1</v>
      </c>
      <c r="R722">
        <v>13.81</v>
      </c>
      <c r="S722">
        <v>4.3899999999999997</v>
      </c>
      <c r="T722">
        <v>11.14</v>
      </c>
      <c r="U722">
        <v>3.36</v>
      </c>
      <c r="V722">
        <v>0.24</v>
      </c>
      <c r="W722">
        <v>-37.6</v>
      </c>
      <c r="X722" t="s">
        <v>57</v>
      </c>
      <c r="Y722" t="s">
        <v>40</v>
      </c>
    </row>
    <row r="723" spans="1:25" x14ac:dyDescent="0.3">
      <c r="A723">
        <v>722</v>
      </c>
      <c r="B723" t="s">
        <v>119</v>
      </c>
      <c r="C723" t="s">
        <v>465</v>
      </c>
      <c r="D723" t="s">
        <v>109</v>
      </c>
      <c r="E723" t="s">
        <v>50</v>
      </c>
      <c r="F723">
        <v>1</v>
      </c>
      <c r="G723">
        <v>150</v>
      </c>
      <c r="H723">
        <v>150</v>
      </c>
      <c r="I723">
        <v>70</v>
      </c>
      <c r="J723">
        <v>70</v>
      </c>
      <c r="K723">
        <v>80</v>
      </c>
      <c r="L723" t="s">
        <v>37</v>
      </c>
      <c r="M723" t="s">
        <v>45</v>
      </c>
      <c r="N723" t="s">
        <v>81</v>
      </c>
      <c r="O723">
        <v>20.11</v>
      </c>
      <c r="P723">
        <v>58.32</v>
      </c>
      <c r="Q723">
        <v>14.45</v>
      </c>
      <c r="R723">
        <v>1.38</v>
      </c>
      <c r="S723">
        <v>3.41</v>
      </c>
      <c r="T723">
        <v>8.6199999999999992</v>
      </c>
      <c r="U723">
        <v>2.66</v>
      </c>
      <c r="V723">
        <v>2.91</v>
      </c>
      <c r="W723">
        <v>-31.86</v>
      </c>
      <c r="X723" t="s">
        <v>66</v>
      </c>
      <c r="Y723" t="s">
        <v>33</v>
      </c>
    </row>
    <row r="724" spans="1:25" x14ac:dyDescent="0.3">
      <c r="A724">
        <v>723</v>
      </c>
      <c r="B724" t="s">
        <v>419</v>
      </c>
      <c r="C724" t="s">
        <v>272</v>
      </c>
      <c r="D724" t="s">
        <v>62</v>
      </c>
      <c r="E724" t="s">
        <v>28</v>
      </c>
      <c r="F724">
        <v>1</v>
      </c>
      <c r="G724">
        <v>250</v>
      </c>
      <c r="H724">
        <v>250</v>
      </c>
      <c r="I724">
        <v>110</v>
      </c>
      <c r="J724">
        <v>110</v>
      </c>
      <c r="K724">
        <v>140</v>
      </c>
      <c r="L724" t="s">
        <v>86</v>
      </c>
      <c r="M724" t="s">
        <v>30</v>
      </c>
      <c r="N724" t="s">
        <v>39</v>
      </c>
      <c r="O724">
        <v>29.9</v>
      </c>
      <c r="P724">
        <v>33.799999999999997</v>
      </c>
      <c r="Q724">
        <v>18.18</v>
      </c>
      <c r="R724">
        <v>22.64</v>
      </c>
      <c r="S724">
        <v>0.1</v>
      </c>
      <c r="T724">
        <v>7.91</v>
      </c>
      <c r="U724">
        <v>2.21</v>
      </c>
      <c r="V724">
        <v>1.18</v>
      </c>
      <c r="W724">
        <v>24.08</v>
      </c>
      <c r="X724" t="s">
        <v>57</v>
      </c>
      <c r="Y724" t="s">
        <v>33</v>
      </c>
    </row>
    <row r="725" spans="1:25" x14ac:dyDescent="0.3">
      <c r="A725">
        <v>724</v>
      </c>
      <c r="B725" t="s">
        <v>466</v>
      </c>
      <c r="C725" t="s">
        <v>292</v>
      </c>
      <c r="D725" t="s">
        <v>36</v>
      </c>
      <c r="E725" t="s">
        <v>28</v>
      </c>
      <c r="F725">
        <v>4</v>
      </c>
      <c r="G725">
        <v>220</v>
      </c>
      <c r="H725">
        <v>880</v>
      </c>
      <c r="I725">
        <v>100</v>
      </c>
      <c r="J725">
        <v>400</v>
      </c>
      <c r="K725">
        <v>480</v>
      </c>
      <c r="L725" t="s">
        <v>86</v>
      </c>
      <c r="M725" t="s">
        <v>45</v>
      </c>
      <c r="N725" t="s">
        <v>31</v>
      </c>
      <c r="O725">
        <v>19.72</v>
      </c>
      <c r="P725">
        <v>21.4</v>
      </c>
      <c r="Q725">
        <v>8.92</v>
      </c>
      <c r="R725">
        <v>23.21</v>
      </c>
      <c r="S725">
        <v>1.73</v>
      </c>
      <c r="T725">
        <v>2.72</v>
      </c>
      <c r="U725">
        <v>4.16</v>
      </c>
      <c r="V725">
        <v>1.89</v>
      </c>
      <c r="W725">
        <v>396.25</v>
      </c>
      <c r="X725" t="s">
        <v>66</v>
      </c>
      <c r="Y725" t="s">
        <v>40</v>
      </c>
    </row>
    <row r="726" spans="1:25" x14ac:dyDescent="0.3">
      <c r="A726">
        <v>725</v>
      </c>
      <c r="B726" t="s">
        <v>177</v>
      </c>
      <c r="C726" t="s">
        <v>355</v>
      </c>
      <c r="D726" t="s">
        <v>62</v>
      </c>
      <c r="E726" t="s">
        <v>28</v>
      </c>
      <c r="F726">
        <v>3</v>
      </c>
      <c r="G726">
        <v>250</v>
      </c>
      <c r="H726">
        <v>750</v>
      </c>
      <c r="I726">
        <v>110</v>
      </c>
      <c r="J726">
        <v>330</v>
      </c>
      <c r="K726">
        <v>420</v>
      </c>
      <c r="L726" t="s">
        <v>29</v>
      </c>
      <c r="M726" t="s">
        <v>56</v>
      </c>
      <c r="N726" t="s">
        <v>90</v>
      </c>
      <c r="O726">
        <v>28.75</v>
      </c>
      <c r="P726">
        <v>26.64</v>
      </c>
      <c r="Q726">
        <v>13.19</v>
      </c>
      <c r="R726">
        <v>4.6500000000000004</v>
      </c>
      <c r="S726">
        <v>1.57</v>
      </c>
      <c r="T726">
        <v>8.5399999999999991</v>
      </c>
      <c r="U726">
        <v>5.6</v>
      </c>
      <c r="V726">
        <v>0.06</v>
      </c>
      <c r="W726">
        <v>331</v>
      </c>
      <c r="X726" t="s">
        <v>32</v>
      </c>
      <c r="Y726" t="s">
        <v>40</v>
      </c>
    </row>
    <row r="727" spans="1:25" x14ac:dyDescent="0.3">
      <c r="A727">
        <v>726</v>
      </c>
      <c r="B727" t="s">
        <v>215</v>
      </c>
      <c r="C727" t="s">
        <v>375</v>
      </c>
      <c r="D727" t="s">
        <v>109</v>
      </c>
      <c r="E727" t="s">
        <v>50</v>
      </c>
      <c r="F727">
        <v>4</v>
      </c>
      <c r="G727">
        <v>150</v>
      </c>
      <c r="H727">
        <v>600</v>
      </c>
      <c r="I727">
        <v>70</v>
      </c>
      <c r="J727">
        <v>280</v>
      </c>
      <c r="K727">
        <v>320</v>
      </c>
      <c r="L727" t="s">
        <v>55</v>
      </c>
      <c r="M727" t="s">
        <v>38</v>
      </c>
      <c r="N727" t="s">
        <v>90</v>
      </c>
      <c r="O727">
        <v>11.18</v>
      </c>
      <c r="P727">
        <v>49.55</v>
      </c>
      <c r="Q727">
        <v>18.41</v>
      </c>
      <c r="R727">
        <v>16.59</v>
      </c>
      <c r="S727">
        <v>3.68</v>
      </c>
      <c r="T727">
        <v>6.68</v>
      </c>
      <c r="U727">
        <v>2.36</v>
      </c>
      <c r="V727">
        <v>0.2</v>
      </c>
      <c r="W727">
        <v>211.35</v>
      </c>
      <c r="X727" t="s">
        <v>57</v>
      </c>
      <c r="Y727" t="s">
        <v>40</v>
      </c>
    </row>
    <row r="728" spans="1:25" x14ac:dyDescent="0.3">
      <c r="A728">
        <v>727</v>
      </c>
      <c r="B728" t="s">
        <v>87</v>
      </c>
      <c r="C728" t="s">
        <v>489</v>
      </c>
      <c r="D728" t="s">
        <v>43</v>
      </c>
      <c r="E728" t="s">
        <v>43</v>
      </c>
      <c r="F728">
        <v>2</v>
      </c>
      <c r="G728">
        <v>80</v>
      </c>
      <c r="H728">
        <v>160</v>
      </c>
      <c r="I728">
        <v>30</v>
      </c>
      <c r="J728">
        <v>60</v>
      </c>
      <c r="K728">
        <v>100</v>
      </c>
      <c r="L728" t="s">
        <v>29</v>
      </c>
      <c r="M728" t="s">
        <v>30</v>
      </c>
      <c r="N728" t="s">
        <v>90</v>
      </c>
      <c r="O728">
        <v>32.6</v>
      </c>
      <c r="P728">
        <v>25.01</v>
      </c>
      <c r="Q728">
        <v>19.89</v>
      </c>
      <c r="R728">
        <v>33.380000000000003</v>
      </c>
      <c r="S728">
        <v>1.66</v>
      </c>
      <c r="T728">
        <v>5.71</v>
      </c>
      <c r="U728">
        <v>4.45</v>
      </c>
      <c r="V728">
        <v>0.49</v>
      </c>
      <c r="W728">
        <v>-23.19</v>
      </c>
      <c r="X728" t="s">
        <v>57</v>
      </c>
      <c r="Y728" t="s">
        <v>33</v>
      </c>
    </row>
    <row r="729" spans="1:25" x14ac:dyDescent="0.3">
      <c r="A729">
        <v>728</v>
      </c>
      <c r="B729" t="s">
        <v>328</v>
      </c>
      <c r="C729" t="s">
        <v>541</v>
      </c>
      <c r="D729" t="s">
        <v>49</v>
      </c>
      <c r="E729" t="s">
        <v>50</v>
      </c>
      <c r="F729">
        <v>2</v>
      </c>
      <c r="G729">
        <v>180</v>
      </c>
      <c r="H729">
        <v>360</v>
      </c>
      <c r="I729">
        <v>90</v>
      </c>
      <c r="J729">
        <v>180</v>
      </c>
      <c r="K729">
        <v>180</v>
      </c>
      <c r="L729" t="s">
        <v>86</v>
      </c>
      <c r="M729" t="s">
        <v>56</v>
      </c>
      <c r="N729" t="s">
        <v>90</v>
      </c>
      <c r="O729">
        <v>26.95</v>
      </c>
      <c r="P729">
        <v>20.55</v>
      </c>
      <c r="Q729">
        <v>10.71</v>
      </c>
      <c r="R729">
        <v>2.78</v>
      </c>
      <c r="S729">
        <v>3.7</v>
      </c>
      <c r="T729">
        <v>6.47</v>
      </c>
      <c r="U729">
        <v>3.79</v>
      </c>
      <c r="V729">
        <v>0.16</v>
      </c>
      <c r="W729">
        <v>104.89</v>
      </c>
      <c r="X729" t="s">
        <v>32</v>
      </c>
      <c r="Y729" t="s">
        <v>40</v>
      </c>
    </row>
    <row r="730" spans="1:25" x14ac:dyDescent="0.3">
      <c r="A730">
        <v>729</v>
      </c>
      <c r="B730" t="s">
        <v>225</v>
      </c>
      <c r="C730" t="s">
        <v>35</v>
      </c>
      <c r="D730" t="s">
        <v>109</v>
      </c>
      <c r="E730" t="s">
        <v>50</v>
      </c>
      <c r="F730">
        <v>2</v>
      </c>
      <c r="G730">
        <v>150</v>
      </c>
      <c r="H730">
        <v>300</v>
      </c>
      <c r="I730">
        <v>70</v>
      </c>
      <c r="J730">
        <v>140</v>
      </c>
      <c r="K730">
        <v>160</v>
      </c>
      <c r="L730" t="s">
        <v>55</v>
      </c>
      <c r="M730" t="s">
        <v>30</v>
      </c>
      <c r="N730" t="s">
        <v>51</v>
      </c>
      <c r="O730">
        <v>35.42</v>
      </c>
      <c r="P730">
        <v>37.64</v>
      </c>
      <c r="Q730">
        <v>9.42</v>
      </c>
      <c r="R730">
        <v>10.51</v>
      </c>
      <c r="S730">
        <v>2.64</v>
      </c>
      <c r="T730">
        <v>7</v>
      </c>
      <c r="U730">
        <v>3.13</v>
      </c>
      <c r="V730">
        <v>2.2400000000000002</v>
      </c>
      <c r="W730">
        <v>52</v>
      </c>
      <c r="X730" t="s">
        <v>57</v>
      </c>
      <c r="Y730" t="s">
        <v>33</v>
      </c>
    </row>
    <row r="731" spans="1:25" x14ac:dyDescent="0.3">
      <c r="A731">
        <v>730</v>
      </c>
      <c r="B731" t="s">
        <v>253</v>
      </c>
      <c r="C731" t="s">
        <v>415</v>
      </c>
      <c r="D731" t="s">
        <v>62</v>
      </c>
      <c r="E731" t="s">
        <v>28</v>
      </c>
      <c r="F731">
        <v>2</v>
      </c>
      <c r="G731">
        <v>250</v>
      </c>
      <c r="H731">
        <v>500</v>
      </c>
      <c r="I731">
        <v>110</v>
      </c>
      <c r="J731">
        <v>220</v>
      </c>
      <c r="K731">
        <v>280</v>
      </c>
      <c r="L731" t="s">
        <v>37</v>
      </c>
      <c r="M731" t="s">
        <v>45</v>
      </c>
      <c r="N731" t="s">
        <v>31</v>
      </c>
      <c r="O731">
        <v>32.85</v>
      </c>
      <c r="P731">
        <v>54.57</v>
      </c>
      <c r="Q731">
        <v>14.95</v>
      </c>
      <c r="R731">
        <v>11.67</v>
      </c>
      <c r="S731">
        <v>4.9000000000000004</v>
      </c>
      <c r="T731">
        <v>2.46</v>
      </c>
      <c r="U731">
        <v>5.33</v>
      </c>
      <c r="V731">
        <v>1.91</v>
      </c>
      <c r="W731">
        <v>151.36000000000001</v>
      </c>
      <c r="X731" t="s">
        <v>57</v>
      </c>
      <c r="Y731" t="s">
        <v>40</v>
      </c>
    </row>
    <row r="732" spans="1:25" x14ac:dyDescent="0.3">
      <c r="A732">
        <v>731</v>
      </c>
      <c r="B732" t="s">
        <v>277</v>
      </c>
      <c r="C732" t="s">
        <v>286</v>
      </c>
      <c r="D732" t="s">
        <v>54</v>
      </c>
      <c r="E732" t="s">
        <v>28</v>
      </c>
      <c r="F732">
        <v>2</v>
      </c>
      <c r="G732">
        <v>120</v>
      </c>
      <c r="H732">
        <v>240</v>
      </c>
      <c r="I732">
        <v>50</v>
      </c>
      <c r="J732">
        <v>100</v>
      </c>
      <c r="K732">
        <v>140</v>
      </c>
      <c r="L732" t="s">
        <v>55</v>
      </c>
      <c r="M732" t="s">
        <v>45</v>
      </c>
      <c r="N732" t="s">
        <v>51</v>
      </c>
      <c r="O732">
        <v>27.74</v>
      </c>
      <c r="P732">
        <v>55.31</v>
      </c>
      <c r="Q732">
        <v>9.52</v>
      </c>
      <c r="R732">
        <v>29.08</v>
      </c>
      <c r="S732">
        <v>4.17</v>
      </c>
      <c r="T732">
        <v>9.02</v>
      </c>
      <c r="U732">
        <v>4.2</v>
      </c>
      <c r="V732">
        <v>1.9</v>
      </c>
      <c r="W732">
        <v>-0.94</v>
      </c>
      <c r="X732" t="s">
        <v>57</v>
      </c>
      <c r="Y732" t="s">
        <v>33</v>
      </c>
    </row>
    <row r="733" spans="1:25" x14ac:dyDescent="0.3">
      <c r="A733">
        <v>732</v>
      </c>
      <c r="B733" t="s">
        <v>521</v>
      </c>
      <c r="C733" t="s">
        <v>98</v>
      </c>
      <c r="D733" t="s">
        <v>109</v>
      </c>
      <c r="E733" t="s">
        <v>50</v>
      </c>
      <c r="F733">
        <v>1</v>
      </c>
      <c r="G733">
        <v>150</v>
      </c>
      <c r="H733">
        <v>150</v>
      </c>
      <c r="I733">
        <v>70</v>
      </c>
      <c r="J733">
        <v>70</v>
      </c>
      <c r="K733">
        <v>80</v>
      </c>
      <c r="L733" t="s">
        <v>44</v>
      </c>
      <c r="M733" t="s">
        <v>63</v>
      </c>
      <c r="N733" t="s">
        <v>39</v>
      </c>
      <c r="O733">
        <v>37.22</v>
      </c>
      <c r="P733">
        <v>59.4</v>
      </c>
      <c r="Q733">
        <v>16.670000000000002</v>
      </c>
      <c r="R733">
        <v>13.16</v>
      </c>
      <c r="S733">
        <v>1.23</v>
      </c>
      <c r="T733">
        <v>13.22</v>
      </c>
      <c r="U733">
        <v>4.79</v>
      </c>
      <c r="V733">
        <v>1.99</v>
      </c>
      <c r="W733">
        <v>-67.680000000000007</v>
      </c>
      <c r="X733" t="s">
        <v>66</v>
      </c>
      <c r="Y733" t="s">
        <v>40</v>
      </c>
    </row>
    <row r="734" spans="1:25" x14ac:dyDescent="0.3">
      <c r="A734">
        <v>733</v>
      </c>
      <c r="B734" t="s">
        <v>394</v>
      </c>
      <c r="C734" t="s">
        <v>310</v>
      </c>
      <c r="D734" t="s">
        <v>54</v>
      </c>
      <c r="E734" t="s">
        <v>28</v>
      </c>
      <c r="F734">
        <v>1</v>
      </c>
      <c r="G734">
        <v>120</v>
      </c>
      <c r="H734">
        <v>120</v>
      </c>
      <c r="I734">
        <v>50</v>
      </c>
      <c r="J734">
        <v>50</v>
      </c>
      <c r="K734">
        <v>70</v>
      </c>
      <c r="L734" t="s">
        <v>44</v>
      </c>
      <c r="M734" t="s">
        <v>38</v>
      </c>
      <c r="N734" t="s">
        <v>31</v>
      </c>
      <c r="O734">
        <v>15.49</v>
      </c>
      <c r="P734">
        <v>37.58</v>
      </c>
      <c r="Q734">
        <v>13.15</v>
      </c>
      <c r="R734">
        <v>28.89</v>
      </c>
      <c r="S734">
        <v>2.33</v>
      </c>
      <c r="T734">
        <v>8.99</v>
      </c>
      <c r="U734">
        <v>6.61</v>
      </c>
      <c r="V734">
        <v>0.5</v>
      </c>
      <c r="W734">
        <v>-43.54</v>
      </c>
      <c r="X734" t="s">
        <v>57</v>
      </c>
      <c r="Y734" t="s">
        <v>33</v>
      </c>
    </row>
    <row r="735" spans="1:25" x14ac:dyDescent="0.3">
      <c r="A735">
        <v>734</v>
      </c>
      <c r="B735" t="s">
        <v>376</v>
      </c>
      <c r="C735" t="s">
        <v>175</v>
      </c>
      <c r="D735" t="s">
        <v>62</v>
      </c>
      <c r="E735" t="s">
        <v>28</v>
      </c>
      <c r="F735">
        <v>1</v>
      </c>
      <c r="G735">
        <v>250</v>
      </c>
      <c r="H735">
        <v>250</v>
      </c>
      <c r="I735">
        <v>110</v>
      </c>
      <c r="J735">
        <v>110</v>
      </c>
      <c r="K735">
        <v>140</v>
      </c>
      <c r="L735" t="s">
        <v>44</v>
      </c>
      <c r="M735" t="s">
        <v>38</v>
      </c>
      <c r="N735" t="s">
        <v>39</v>
      </c>
      <c r="O735">
        <v>39.130000000000003</v>
      </c>
      <c r="P735">
        <v>15.72</v>
      </c>
      <c r="Q735">
        <v>10.87</v>
      </c>
      <c r="R735">
        <v>31.8</v>
      </c>
      <c r="S735">
        <v>4.41</v>
      </c>
      <c r="T735">
        <v>5.22</v>
      </c>
      <c r="U735">
        <v>6.69</v>
      </c>
      <c r="V735">
        <v>0.28000000000000003</v>
      </c>
      <c r="W735">
        <v>25.88</v>
      </c>
      <c r="X735" t="s">
        <v>32</v>
      </c>
      <c r="Y735" t="s">
        <v>33</v>
      </c>
    </row>
    <row r="736" spans="1:25" x14ac:dyDescent="0.3">
      <c r="A736">
        <v>735</v>
      </c>
      <c r="B736" t="s">
        <v>542</v>
      </c>
      <c r="C736" t="s">
        <v>250</v>
      </c>
      <c r="D736" t="s">
        <v>36</v>
      </c>
      <c r="E736" t="s">
        <v>28</v>
      </c>
      <c r="F736">
        <v>4</v>
      </c>
      <c r="G736">
        <v>220</v>
      </c>
      <c r="H736">
        <v>880</v>
      </c>
      <c r="I736">
        <v>100</v>
      </c>
      <c r="J736">
        <v>400</v>
      </c>
      <c r="K736">
        <v>480</v>
      </c>
      <c r="L736" t="s">
        <v>37</v>
      </c>
      <c r="M736" t="s">
        <v>38</v>
      </c>
      <c r="N736" t="s">
        <v>39</v>
      </c>
      <c r="O736">
        <v>25.98</v>
      </c>
      <c r="P736">
        <v>33.26</v>
      </c>
      <c r="Q736">
        <v>8.52</v>
      </c>
      <c r="R736">
        <v>23.24</v>
      </c>
      <c r="S736">
        <v>1.62</v>
      </c>
      <c r="T736">
        <v>12.22</v>
      </c>
      <c r="U736">
        <v>1.22</v>
      </c>
      <c r="V736">
        <v>2.41</v>
      </c>
      <c r="W736">
        <v>371.53</v>
      </c>
      <c r="X736" t="s">
        <v>57</v>
      </c>
      <c r="Y736" t="s">
        <v>40</v>
      </c>
    </row>
    <row r="737" spans="1:25" x14ac:dyDescent="0.3">
      <c r="A737">
        <v>736</v>
      </c>
      <c r="B737" t="s">
        <v>444</v>
      </c>
      <c r="C737" t="s">
        <v>463</v>
      </c>
      <c r="D737" t="s">
        <v>109</v>
      </c>
      <c r="E737" t="s">
        <v>50</v>
      </c>
      <c r="F737">
        <v>3</v>
      </c>
      <c r="G737">
        <v>150</v>
      </c>
      <c r="H737">
        <v>450</v>
      </c>
      <c r="I737">
        <v>70</v>
      </c>
      <c r="J737">
        <v>210</v>
      </c>
      <c r="K737">
        <v>240</v>
      </c>
      <c r="L737" t="s">
        <v>37</v>
      </c>
      <c r="M737" t="s">
        <v>63</v>
      </c>
      <c r="N737" t="s">
        <v>51</v>
      </c>
      <c r="O737">
        <v>32.47</v>
      </c>
      <c r="P737">
        <v>39.450000000000003</v>
      </c>
      <c r="Q737">
        <v>14.3</v>
      </c>
      <c r="R737">
        <v>19.170000000000002</v>
      </c>
      <c r="S737">
        <v>1.81</v>
      </c>
      <c r="T737">
        <v>5.35</v>
      </c>
      <c r="U737">
        <v>7.14</v>
      </c>
      <c r="V737">
        <v>2.0499999999999998</v>
      </c>
      <c r="W737">
        <v>118.26</v>
      </c>
      <c r="X737" t="s">
        <v>32</v>
      </c>
      <c r="Y737" t="s">
        <v>40</v>
      </c>
    </row>
    <row r="738" spans="1:25" x14ac:dyDescent="0.3">
      <c r="A738">
        <v>737</v>
      </c>
      <c r="B738" t="s">
        <v>143</v>
      </c>
      <c r="C738" t="s">
        <v>349</v>
      </c>
      <c r="D738" t="s">
        <v>36</v>
      </c>
      <c r="E738" t="s">
        <v>28</v>
      </c>
      <c r="F738">
        <v>4</v>
      </c>
      <c r="G738">
        <v>220</v>
      </c>
      <c r="H738">
        <v>880</v>
      </c>
      <c r="I738">
        <v>100</v>
      </c>
      <c r="J738">
        <v>400</v>
      </c>
      <c r="K738">
        <v>480</v>
      </c>
      <c r="L738" t="s">
        <v>86</v>
      </c>
      <c r="M738" t="s">
        <v>45</v>
      </c>
      <c r="N738" t="s">
        <v>46</v>
      </c>
      <c r="O738">
        <v>18.32</v>
      </c>
      <c r="P738">
        <v>57.29</v>
      </c>
      <c r="Q738">
        <v>6.06</v>
      </c>
      <c r="R738">
        <v>31.29</v>
      </c>
      <c r="S738">
        <v>4.6500000000000004</v>
      </c>
      <c r="T738">
        <v>5.91</v>
      </c>
      <c r="U738">
        <v>6.98</v>
      </c>
      <c r="V738">
        <v>1.38</v>
      </c>
      <c r="W738">
        <v>348.12</v>
      </c>
      <c r="X738" t="s">
        <v>32</v>
      </c>
      <c r="Y738" t="s">
        <v>33</v>
      </c>
    </row>
    <row r="739" spans="1:25" x14ac:dyDescent="0.3">
      <c r="A739">
        <v>738</v>
      </c>
      <c r="B739" t="s">
        <v>87</v>
      </c>
      <c r="C739" t="s">
        <v>292</v>
      </c>
      <c r="D739" t="s">
        <v>43</v>
      </c>
      <c r="E739" t="s">
        <v>43</v>
      </c>
      <c r="F739">
        <v>4</v>
      </c>
      <c r="G739">
        <v>80</v>
      </c>
      <c r="H739">
        <v>320</v>
      </c>
      <c r="I739">
        <v>30</v>
      </c>
      <c r="J739">
        <v>120</v>
      </c>
      <c r="K739">
        <v>200</v>
      </c>
      <c r="L739" t="s">
        <v>86</v>
      </c>
      <c r="M739" t="s">
        <v>63</v>
      </c>
      <c r="N739" t="s">
        <v>39</v>
      </c>
      <c r="O739">
        <v>25.96</v>
      </c>
      <c r="P739">
        <v>18.079999999999998</v>
      </c>
      <c r="Q739">
        <v>6.14</v>
      </c>
      <c r="R739">
        <v>16.86</v>
      </c>
      <c r="S739">
        <v>0.55000000000000004</v>
      </c>
      <c r="T739">
        <v>4.8499999999999996</v>
      </c>
      <c r="U739">
        <v>7.4</v>
      </c>
      <c r="V739">
        <v>0.28000000000000003</v>
      </c>
      <c r="W739">
        <v>119.88</v>
      </c>
      <c r="X739" t="s">
        <v>66</v>
      </c>
      <c r="Y739" t="s">
        <v>40</v>
      </c>
    </row>
    <row r="740" spans="1:25" x14ac:dyDescent="0.3">
      <c r="A740">
        <v>739</v>
      </c>
      <c r="B740" t="s">
        <v>330</v>
      </c>
      <c r="C740" t="s">
        <v>377</v>
      </c>
      <c r="D740" t="s">
        <v>62</v>
      </c>
      <c r="E740" t="s">
        <v>28</v>
      </c>
      <c r="F740">
        <v>3</v>
      </c>
      <c r="G740">
        <v>250</v>
      </c>
      <c r="H740">
        <v>750</v>
      </c>
      <c r="I740">
        <v>110</v>
      </c>
      <c r="J740">
        <v>330</v>
      </c>
      <c r="K740">
        <v>420</v>
      </c>
      <c r="L740" t="s">
        <v>29</v>
      </c>
      <c r="M740" t="s">
        <v>38</v>
      </c>
      <c r="N740" t="s">
        <v>51</v>
      </c>
      <c r="O740">
        <v>32.78</v>
      </c>
      <c r="P740">
        <v>42.1</v>
      </c>
      <c r="Q740">
        <v>14.46</v>
      </c>
      <c r="R740">
        <v>30.08</v>
      </c>
      <c r="S740">
        <v>1.07</v>
      </c>
      <c r="T740">
        <v>10.130000000000001</v>
      </c>
      <c r="U740">
        <v>3.43</v>
      </c>
      <c r="V740">
        <v>1.39</v>
      </c>
      <c r="W740">
        <v>284.56</v>
      </c>
      <c r="X740" t="s">
        <v>32</v>
      </c>
      <c r="Y740" t="s">
        <v>33</v>
      </c>
    </row>
    <row r="741" spans="1:25" x14ac:dyDescent="0.3">
      <c r="A741">
        <v>740</v>
      </c>
      <c r="B741" t="s">
        <v>467</v>
      </c>
      <c r="C741" t="s">
        <v>543</v>
      </c>
      <c r="D741" t="s">
        <v>62</v>
      </c>
      <c r="E741" t="s">
        <v>28</v>
      </c>
      <c r="F741">
        <v>1</v>
      </c>
      <c r="G741">
        <v>250</v>
      </c>
      <c r="H741">
        <v>250</v>
      </c>
      <c r="I741">
        <v>110</v>
      </c>
      <c r="J741">
        <v>110</v>
      </c>
      <c r="K741">
        <v>140</v>
      </c>
      <c r="L741" t="s">
        <v>37</v>
      </c>
      <c r="M741" t="s">
        <v>56</v>
      </c>
      <c r="N741" t="s">
        <v>51</v>
      </c>
      <c r="O741">
        <v>40</v>
      </c>
      <c r="P741">
        <v>32.01</v>
      </c>
      <c r="Q741">
        <v>19.62</v>
      </c>
      <c r="R741">
        <v>25.22</v>
      </c>
      <c r="S741">
        <v>2.9</v>
      </c>
      <c r="T741">
        <v>10.89</v>
      </c>
      <c r="U741">
        <v>5.83</v>
      </c>
      <c r="V741">
        <v>0.5</v>
      </c>
      <c r="W741">
        <v>3.03</v>
      </c>
      <c r="X741" t="s">
        <v>32</v>
      </c>
      <c r="Y741" t="s">
        <v>40</v>
      </c>
    </row>
    <row r="742" spans="1:25" x14ac:dyDescent="0.3">
      <c r="A742">
        <v>741</v>
      </c>
      <c r="B742" t="s">
        <v>513</v>
      </c>
      <c r="C742" t="s">
        <v>544</v>
      </c>
      <c r="D742" t="s">
        <v>43</v>
      </c>
      <c r="E742" t="s">
        <v>43</v>
      </c>
      <c r="F742">
        <v>1</v>
      </c>
      <c r="G742">
        <v>80</v>
      </c>
      <c r="H742">
        <v>80</v>
      </c>
      <c r="I742">
        <v>30</v>
      </c>
      <c r="J742">
        <v>30</v>
      </c>
      <c r="K742">
        <v>50</v>
      </c>
      <c r="L742" t="s">
        <v>86</v>
      </c>
      <c r="M742" t="s">
        <v>30</v>
      </c>
      <c r="N742" t="s">
        <v>31</v>
      </c>
      <c r="O742">
        <v>20.69</v>
      </c>
      <c r="P742">
        <v>31.04</v>
      </c>
      <c r="Q742">
        <v>13.69</v>
      </c>
      <c r="R742">
        <v>1.1000000000000001</v>
      </c>
      <c r="S742">
        <v>1.65</v>
      </c>
      <c r="T742">
        <v>7.48</v>
      </c>
      <c r="U742">
        <v>5.96</v>
      </c>
      <c r="V742">
        <v>0.76</v>
      </c>
      <c r="W742">
        <v>-32.369999999999997</v>
      </c>
      <c r="X742" t="s">
        <v>57</v>
      </c>
      <c r="Y742" t="s">
        <v>33</v>
      </c>
    </row>
    <row r="743" spans="1:25" x14ac:dyDescent="0.3">
      <c r="A743">
        <v>742</v>
      </c>
      <c r="B743" t="s">
        <v>207</v>
      </c>
      <c r="C743" t="s">
        <v>427</v>
      </c>
      <c r="D743" t="s">
        <v>109</v>
      </c>
      <c r="E743" t="s">
        <v>50</v>
      </c>
      <c r="F743">
        <v>2</v>
      </c>
      <c r="G743">
        <v>150</v>
      </c>
      <c r="H743">
        <v>300</v>
      </c>
      <c r="I743">
        <v>70</v>
      </c>
      <c r="J743">
        <v>140</v>
      </c>
      <c r="K743">
        <v>160</v>
      </c>
      <c r="L743" t="s">
        <v>29</v>
      </c>
      <c r="M743" t="s">
        <v>45</v>
      </c>
      <c r="N743" t="s">
        <v>39</v>
      </c>
      <c r="O743">
        <v>27.24</v>
      </c>
      <c r="P743">
        <v>23.46</v>
      </c>
      <c r="Q743">
        <v>8.92</v>
      </c>
      <c r="R743">
        <v>27.5</v>
      </c>
      <c r="S743">
        <v>2.95</v>
      </c>
      <c r="T743">
        <v>10.35</v>
      </c>
      <c r="U743">
        <v>1.32</v>
      </c>
      <c r="V743">
        <v>1.1299999999999999</v>
      </c>
      <c r="W743">
        <v>57.13</v>
      </c>
      <c r="X743" t="s">
        <v>57</v>
      </c>
      <c r="Y743" t="s">
        <v>40</v>
      </c>
    </row>
    <row r="744" spans="1:25" x14ac:dyDescent="0.3">
      <c r="A744">
        <v>743</v>
      </c>
      <c r="B744" t="s">
        <v>113</v>
      </c>
      <c r="C744" t="s">
        <v>504</v>
      </c>
      <c r="D744" t="s">
        <v>36</v>
      </c>
      <c r="E744" t="s">
        <v>28</v>
      </c>
      <c r="F744">
        <v>2</v>
      </c>
      <c r="G744">
        <v>220</v>
      </c>
      <c r="H744">
        <v>440</v>
      </c>
      <c r="I744">
        <v>100</v>
      </c>
      <c r="J744">
        <v>200</v>
      </c>
      <c r="K744">
        <v>240</v>
      </c>
      <c r="L744" t="s">
        <v>44</v>
      </c>
      <c r="M744" t="s">
        <v>63</v>
      </c>
      <c r="N744" t="s">
        <v>51</v>
      </c>
      <c r="O744">
        <v>17.559999999999999</v>
      </c>
      <c r="P744">
        <v>48.12</v>
      </c>
      <c r="Q744">
        <v>9.7100000000000009</v>
      </c>
      <c r="R744">
        <v>32.68</v>
      </c>
      <c r="S744">
        <v>3.47</v>
      </c>
      <c r="T744">
        <v>2.15</v>
      </c>
      <c r="U744">
        <v>1.19</v>
      </c>
      <c r="V744">
        <v>0.91</v>
      </c>
      <c r="W744">
        <v>124.21</v>
      </c>
      <c r="X744" t="s">
        <v>57</v>
      </c>
      <c r="Y744" t="s">
        <v>40</v>
      </c>
    </row>
    <row r="745" spans="1:25" x14ac:dyDescent="0.3">
      <c r="A745">
        <v>744</v>
      </c>
      <c r="B745" t="s">
        <v>231</v>
      </c>
      <c r="C745" t="s">
        <v>470</v>
      </c>
      <c r="D745" t="s">
        <v>54</v>
      </c>
      <c r="E745" t="s">
        <v>28</v>
      </c>
      <c r="F745">
        <v>2</v>
      </c>
      <c r="G745">
        <v>120</v>
      </c>
      <c r="H745">
        <v>240</v>
      </c>
      <c r="I745">
        <v>50</v>
      </c>
      <c r="J745">
        <v>100</v>
      </c>
      <c r="K745">
        <v>140</v>
      </c>
      <c r="L745" t="s">
        <v>55</v>
      </c>
      <c r="M745" t="s">
        <v>63</v>
      </c>
      <c r="N745" t="s">
        <v>81</v>
      </c>
      <c r="O745">
        <v>31.72</v>
      </c>
      <c r="P745">
        <v>43.76</v>
      </c>
      <c r="Q745">
        <v>18.78</v>
      </c>
      <c r="R745">
        <v>24.76</v>
      </c>
      <c r="S745">
        <v>0.26</v>
      </c>
      <c r="T745">
        <v>13.95</v>
      </c>
      <c r="U745">
        <v>3.18</v>
      </c>
      <c r="V745">
        <v>2.2799999999999998</v>
      </c>
      <c r="W745">
        <v>1.31</v>
      </c>
      <c r="X745" t="s">
        <v>32</v>
      </c>
      <c r="Y745" t="s">
        <v>33</v>
      </c>
    </row>
    <row r="746" spans="1:25" x14ac:dyDescent="0.3">
      <c r="A746">
        <v>745</v>
      </c>
      <c r="B746" t="s">
        <v>300</v>
      </c>
      <c r="C746" t="s">
        <v>261</v>
      </c>
      <c r="D746" t="s">
        <v>43</v>
      </c>
      <c r="E746" t="s">
        <v>43</v>
      </c>
      <c r="F746">
        <v>2</v>
      </c>
      <c r="G746">
        <v>80</v>
      </c>
      <c r="H746">
        <v>160</v>
      </c>
      <c r="I746">
        <v>30</v>
      </c>
      <c r="J746">
        <v>60</v>
      </c>
      <c r="K746">
        <v>100</v>
      </c>
      <c r="L746" t="s">
        <v>44</v>
      </c>
      <c r="M746" t="s">
        <v>38</v>
      </c>
      <c r="N746" t="s">
        <v>90</v>
      </c>
      <c r="O746">
        <v>29.45</v>
      </c>
      <c r="P746">
        <v>57.36</v>
      </c>
      <c r="Q746">
        <v>7.33</v>
      </c>
      <c r="R746">
        <v>27.46</v>
      </c>
      <c r="S746">
        <v>4.1500000000000004</v>
      </c>
      <c r="T746">
        <v>14.82</v>
      </c>
      <c r="U746">
        <v>1.71</v>
      </c>
      <c r="V746">
        <v>1.44</v>
      </c>
      <c r="W746">
        <v>-43.72</v>
      </c>
      <c r="X746" t="s">
        <v>32</v>
      </c>
      <c r="Y746" t="s">
        <v>33</v>
      </c>
    </row>
    <row r="747" spans="1:25" x14ac:dyDescent="0.3">
      <c r="A747">
        <v>746</v>
      </c>
      <c r="B747" t="s">
        <v>475</v>
      </c>
      <c r="C747" t="s">
        <v>316</v>
      </c>
      <c r="D747" t="s">
        <v>109</v>
      </c>
      <c r="E747" t="s">
        <v>50</v>
      </c>
      <c r="F747">
        <v>3</v>
      </c>
      <c r="G747">
        <v>150</v>
      </c>
      <c r="H747">
        <v>450</v>
      </c>
      <c r="I747">
        <v>70</v>
      </c>
      <c r="J747">
        <v>210</v>
      </c>
      <c r="K747">
        <v>240</v>
      </c>
      <c r="L747" t="s">
        <v>55</v>
      </c>
      <c r="M747" t="s">
        <v>45</v>
      </c>
      <c r="N747" t="s">
        <v>46</v>
      </c>
      <c r="O747">
        <v>23.2</v>
      </c>
      <c r="P747">
        <v>19.920000000000002</v>
      </c>
      <c r="Q747">
        <v>19.87</v>
      </c>
      <c r="R747">
        <v>28.65</v>
      </c>
      <c r="S747">
        <v>2.1800000000000002</v>
      </c>
      <c r="T747">
        <v>13.99</v>
      </c>
      <c r="U747">
        <v>5.86</v>
      </c>
      <c r="V747">
        <v>0.72</v>
      </c>
      <c r="W747">
        <v>125.61</v>
      </c>
      <c r="X747" t="s">
        <v>57</v>
      </c>
      <c r="Y747" t="s">
        <v>33</v>
      </c>
    </row>
    <row r="748" spans="1:25" x14ac:dyDescent="0.3">
      <c r="A748">
        <v>747</v>
      </c>
      <c r="B748" t="s">
        <v>404</v>
      </c>
      <c r="C748" t="s">
        <v>409</v>
      </c>
      <c r="D748" t="s">
        <v>49</v>
      </c>
      <c r="E748" t="s">
        <v>50</v>
      </c>
      <c r="F748">
        <v>1</v>
      </c>
      <c r="G748">
        <v>180</v>
      </c>
      <c r="H748">
        <v>180</v>
      </c>
      <c r="I748">
        <v>90</v>
      </c>
      <c r="J748">
        <v>90</v>
      </c>
      <c r="K748">
        <v>90</v>
      </c>
      <c r="L748" t="s">
        <v>86</v>
      </c>
      <c r="M748" t="s">
        <v>56</v>
      </c>
      <c r="N748" t="s">
        <v>90</v>
      </c>
      <c r="O748">
        <v>16.41</v>
      </c>
      <c r="P748">
        <v>49.94</v>
      </c>
      <c r="Q748">
        <v>6.63</v>
      </c>
      <c r="R748">
        <v>33.119999999999997</v>
      </c>
      <c r="S748">
        <v>3.34</v>
      </c>
      <c r="T748">
        <v>3.72</v>
      </c>
      <c r="U748">
        <v>2.79</v>
      </c>
      <c r="V748">
        <v>0.01</v>
      </c>
      <c r="W748">
        <v>-25.96</v>
      </c>
      <c r="X748" t="s">
        <v>66</v>
      </c>
      <c r="Y748" t="s">
        <v>40</v>
      </c>
    </row>
    <row r="749" spans="1:25" x14ac:dyDescent="0.3">
      <c r="A749">
        <v>748</v>
      </c>
      <c r="B749" t="s">
        <v>317</v>
      </c>
      <c r="C749" t="s">
        <v>197</v>
      </c>
      <c r="D749" t="s">
        <v>89</v>
      </c>
      <c r="E749" t="s">
        <v>28</v>
      </c>
      <c r="F749">
        <v>2</v>
      </c>
      <c r="G749">
        <v>180</v>
      </c>
      <c r="H749">
        <v>360</v>
      </c>
      <c r="I749">
        <v>75</v>
      </c>
      <c r="J749">
        <v>150</v>
      </c>
      <c r="K749">
        <v>210</v>
      </c>
      <c r="L749" t="s">
        <v>55</v>
      </c>
      <c r="M749" t="s">
        <v>38</v>
      </c>
      <c r="N749" t="s">
        <v>90</v>
      </c>
      <c r="O749">
        <v>37.82</v>
      </c>
      <c r="P749">
        <v>24.7</v>
      </c>
      <c r="Q749">
        <v>9.4499999999999993</v>
      </c>
      <c r="R749">
        <v>22.08</v>
      </c>
      <c r="S749">
        <v>4.68</v>
      </c>
      <c r="T749">
        <v>8.0299999999999994</v>
      </c>
      <c r="U749">
        <v>6.61</v>
      </c>
      <c r="V749">
        <v>2.5</v>
      </c>
      <c r="W749">
        <v>94.13</v>
      </c>
      <c r="X749" t="s">
        <v>57</v>
      </c>
      <c r="Y749" t="s">
        <v>40</v>
      </c>
    </row>
    <row r="750" spans="1:25" x14ac:dyDescent="0.3">
      <c r="A750">
        <v>749</v>
      </c>
      <c r="B750" t="s">
        <v>459</v>
      </c>
      <c r="C750" t="s">
        <v>499</v>
      </c>
      <c r="D750" t="s">
        <v>36</v>
      </c>
      <c r="E750" t="s">
        <v>28</v>
      </c>
      <c r="F750">
        <v>2</v>
      </c>
      <c r="G750">
        <v>220</v>
      </c>
      <c r="H750">
        <v>440</v>
      </c>
      <c r="I750">
        <v>100</v>
      </c>
      <c r="J750">
        <v>200</v>
      </c>
      <c r="K750">
        <v>240</v>
      </c>
      <c r="L750" t="s">
        <v>37</v>
      </c>
      <c r="M750" t="s">
        <v>63</v>
      </c>
      <c r="N750" t="s">
        <v>31</v>
      </c>
      <c r="O750">
        <v>23.47</v>
      </c>
      <c r="P750">
        <v>35.39</v>
      </c>
      <c r="Q750">
        <v>17.239999999999998</v>
      </c>
      <c r="R750">
        <v>26.14</v>
      </c>
      <c r="S750">
        <v>4.88</v>
      </c>
      <c r="T750">
        <v>10.79</v>
      </c>
      <c r="U750">
        <v>2.58</v>
      </c>
      <c r="V750">
        <v>2.12</v>
      </c>
      <c r="W750">
        <v>117.39</v>
      </c>
      <c r="X750" t="s">
        <v>32</v>
      </c>
      <c r="Y750" t="s">
        <v>33</v>
      </c>
    </row>
    <row r="751" spans="1:25" x14ac:dyDescent="0.3">
      <c r="A751">
        <v>750</v>
      </c>
      <c r="B751" t="s">
        <v>221</v>
      </c>
      <c r="C751" t="s">
        <v>457</v>
      </c>
      <c r="D751" t="s">
        <v>89</v>
      </c>
      <c r="E751" t="s">
        <v>28</v>
      </c>
      <c r="F751">
        <v>1</v>
      </c>
      <c r="G751">
        <v>180</v>
      </c>
      <c r="H751">
        <v>180</v>
      </c>
      <c r="I751">
        <v>75</v>
      </c>
      <c r="J751">
        <v>75</v>
      </c>
      <c r="K751">
        <v>105</v>
      </c>
      <c r="L751" t="s">
        <v>86</v>
      </c>
      <c r="M751" t="s">
        <v>63</v>
      </c>
      <c r="N751" t="s">
        <v>31</v>
      </c>
      <c r="O751">
        <v>13.72</v>
      </c>
      <c r="P751">
        <v>46.86</v>
      </c>
      <c r="Q751">
        <v>14.3</v>
      </c>
      <c r="R751">
        <v>1.93</v>
      </c>
      <c r="S751">
        <v>0.68</v>
      </c>
      <c r="T751">
        <v>7.74</v>
      </c>
      <c r="U751">
        <v>3.96</v>
      </c>
      <c r="V751">
        <v>1.05</v>
      </c>
      <c r="W751">
        <v>14.76</v>
      </c>
      <c r="X751" t="s">
        <v>57</v>
      </c>
      <c r="Y751" t="s">
        <v>40</v>
      </c>
    </row>
    <row r="752" spans="1:25" x14ac:dyDescent="0.3">
      <c r="A752">
        <v>751</v>
      </c>
      <c r="B752" t="s">
        <v>207</v>
      </c>
      <c r="C752" t="s">
        <v>480</v>
      </c>
      <c r="D752" t="s">
        <v>36</v>
      </c>
      <c r="E752" t="s">
        <v>28</v>
      </c>
      <c r="F752">
        <v>4</v>
      </c>
      <c r="G752">
        <v>220</v>
      </c>
      <c r="H752">
        <v>880</v>
      </c>
      <c r="I752">
        <v>100</v>
      </c>
      <c r="J752">
        <v>400</v>
      </c>
      <c r="K752">
        <v>480</v>
      </c>
      <c r="L752" t="s">
        <v>37</v>
      </c>
      <c r="M752" t="s">
        <v>30</v>
      </c>
      <c r="N752" t="s">
        <v>90</v>
      </c>
      <c r="O752">
        <v>17.04</v>
      </c>
      <c r="P752">
        <v>55.86</v>
      </c>
      <c r="Q752">
        <v>19.010000000000002</v>
      </c>
      <c r="R752">
        <v>7.17</v>
      </c>
      <c r="S752">
        <v>2.85</v>
      </c>
      <c r="T752">
        <v>6.61</v>
      </c>
      <c r="U752">
        <v>7</v>
      </c>
      <c r="V752">
        <v>2.42</v>
      </c>
      <c r="W752">
        <v>362.04</v>
      </c>
      <c r="X752" t="s">
        <v>32</v>
      </c>
      <c r="Y752" t="s">
        <v>33</v>
      </c>
    </row>
    <row r="753" spans="1:25" x14ac:dyDescent="0.3">
      <c r="A753">
        <v>752</v>
      </c>
      <c r="B753" t="s">
        <v>231</v>
      </c>
      <c r="C753" t="s">
        <v>345</v>
      </c>
      <c r="D753" t="s">
        <v>49</v>
      </c>
      <c r="E753" t="s">
        <v>50</v>
      </c>
      <c r="F753">
        <v>3</v>
      </c>
      <c r="G753">
        <v>180</v>
      </c>
      <c r="H753">
        <v>540</v>
      </c>
      <c r="I753">
        <v>90</v>
      </c>
      <c r="J753">
        <v>270</v>
      </c>
      <c r="K753">
        <v>270</v>
      </c>
      <c r="L753" t="s">
        <v>37</v>
      </c>
      <c r="M753" t="s">
        <v>56</v>
      </c>
      <c r="N753" t="s">
        <v>46</v>
      </c>
      <c r="O753">
        <v>22.72</v>
      </c>
      <c r="P753">
        <v>53.66</v>
      </c>
      <c r="Q753">
        <v>7.13</v>
      </c>
      <c r="R753">
        <v>27.22</v>
      </c>
      <c r="S753">
        <v>1.93</v>
      </c>
      <c r="T753">
        <v>3.38</v>
      </c>
      <c r="U753">
        <v>1.81</v>
      </c>
      <c r="V753">
        <v>1.99</v>
      </c>
      <c r="W753">
        <v>150.16</v>
      </c>
      <c r="X753" t="s">
        <v>32</v>
      </c>
      <c r="Y753" t="s">
        <v>33</v>
      </c>
    </row>
    <row r="754" spans="1:25" x14ac:dyDescent="0.3">
      <c r="A754">
        <v>753</v>
      </c>
      <c r="B754" t="s">
        <v>365</v>
      </c>
      <c r="C754" t="s">
        <v>223</v>
      </c>
      <c r="D754" t="s">
        <v>36</v>
      </c>
      <c r="E754" t="s">
        <v>28</v>
      </c>
      <c r="F754">
        <v>1</v>
      </c>
      <c r="G754">
        <v>220</v>
      </c>
      <c r="H754">
        <v>220</v>
      </c>
      <c r="I754">
        <v>100</v>
      </c>
      <c r="J754">
        <v>100</v>
      </c>
      <c r="K754">
        <v>120</v>
      </c>
      <c r="L754" t="s">
        <v>29</v>
      </c>
      <c r="M754" t="s">
        <v>63</v>
      </c>
      <c r="N754" t="s">
        <v>51</v>
      </c>
      <c r="O754">
        <v>29.49</v>
      </c>
      <c r="P754">
        <v>34.049999999999997</v>
      </c>
      <c r="Q754">
        <v>6.63</v>
      </c>
      <c r="R754">
        <v>32.840000000000003</v>
      </c>
      <c r="S754">
        <v>2.48</v>
      </c>
      <c r="T754">
        <v>2.0699999999999998</v>
      </c>
      <c r="U754">
        <v>1.96</v>
      </c>
      <c r="V754">
        <v>2.04</v>
      </c>
      <c r="W754">
        <v>8.44</v>
      </c>
      <c r="X754" t="s">
        <v>32</v>
      </c>
      <c r="Y754" t="s">
        <v>40</v>
      </c>
    </row>
    <row r="755" spans="1:25" x14ac:dyDescent="0.3">
      <c r="A755">
        <v>754</v>
      </c>
      <c r="B755" t="s">
        <v>231</v>
      </c>
      <c r="C755" t="s">
        <v>160</v>
      </c>
      <c r="D755" t="s">
        <v>49</v>
      </c>
      <c r="E755" t="s">
        <v>50</v>
      </c>
      <c r="F755">
        <v>2</v>
      </c>
      <c r="G755">
        <v>180</v>
      </c>
      <c r="H755">
        <v>360</v>
      </c>
      <c r="I755">
        <v>90</v>
      </c>
      <c r="J755">
        <v>180</v>
      </c>
      <c r="K755">
        <v>180</v>
      </c>
      <c r="L755" t="s">
        <v>29</v>
      </c>
      <c r="M755" t="s">
        <v>63</v>
      </c>
      <c r="N755" t="s">
        <v>51</v>
      </c>
      <c r="O755">
        <v>16.829999999999998</v>
      </c>
      <c r="P755">
        <v>29.58</v>
      </c>
      <c r="Q755">
        <v>8.6199999999999992</v>
      </c>
      <c r="R755">
        <v>31.35</v>
      </c>
      <c r="S755">
        <v>2.67</v>
      </c>
      <c r="T755">
        <v>12.83</v>
      </c>
      <c r="U755">
        <v>6.66</v>
      </c>
      <c r="V755">
        <v>2.84</v>
      </c>
      <c r="W755">
        <v>68.62</v>
      </c>
      <c r="X755" t="s">
        <v>32</v>
      </c>
      <c r="Y755" t="s">
        <v>33</v>
      </c>
    </row>
    <row r="756" spans="1:25" x14ac:dyDescent="0.3">
      <c r="A756">
        <v>755</v>
      </c>
      <c r="B756" t="s">
        <v>268</v>
      </c>
      <c r="C756" t="s">
        <v>270</v>
      </c>
      <c r="D756" t="s">
        <v>109</v>
      </c>
      <c r="E756" t="s">
        <v>50</v>
      </c>
      <c r="F756">
        <v>1</v>
      </c>
      <c r="G756">
        <v>150</v>
      </c>
      <c r="H756">
        <v>150</v>
      </c>
      <c r="I756">
        <v>70</v>
      </c>
      <c r="J756">
        <v>70</v>
      </c>
      <c r="K756">
        <v>80</v>
      </c>
      <c r="L756" t="s">
        <v>29</v>
      </c>
      <c r="M756" t="s">
        <v>38</v>
      </c>
      <c r="N756" t="s">
        <v>39</v>
      </c>
      <c r="O756">
        <v>38.78</v>
      </c>
      <c r="P756">
        <v>58.98</v>
      </c>
      <c r="Q756">
        <v>16.88</v>
      </c>
      <c r="R756">
        <v>25.2</v>
      </c>
      <c r="S756">
        <v>1.87</v>
      </c>
      <c r="T756">
        <v>6.36</v>
      </c>
      <c r="U756">
        <v>3.24</v>
      </c>
      <c r="V756">
        <v>0.04</v>
      </c>
      <c r="W756">
        <v>-71.349999999999994</v>
      </c>
      <c r="X756" t="s">
        <v>57</v>
      </c>
      <c r="Y756" t="s">
        <v>40</v>
      </c>
    </row>
    <row r="757" spans="1:25" x14ac:dyDescent="0.3">
      <c r="A757">
        <v>756</v>
      </c>
      <c r="B757" t="s">
        <v>521</v>
      </c>
      <c r="C757" t="s">
        <v>246</v>
      </c>
      <c r="D757" t="s">
        <v>62</v>
      </c>
      <c r="E757" t="s">
        <v>28</v>
      </c>
      <c r="F757">
        <v>1</v>
      </c>
      <c r="G757">
        <v>250</v>
      </c>
      <c r="H757">
        <v>250</v>
      </c>
      <c r="I757">
        <v>110</v>
      </c>
      <c r="J757">
        <v>110</v>
      </c>
      <c r="K757">
        <v>140</v>
      </c>
      <c r="L757" t="s">
        <v>44</v>
      </c>
      <c r="M757" t="s">
        <v>56</v>
      </c>
      <c r="N757" t="s">
        <v>51</v>
      </c>
      <c r="O757">
        <v>39.18</v>
      </c>
      <c r="P757">
        <v>53.48</v>
      </c>
      <c r="Q757">
        <v>5</v>
      </c>
      <c r="R757">
        <v>27.27</v>
      </c>
      <c r="S757">
        <v>3.37</v>
      </c>
      <c r="T757">
        <v>11.33</v>
      </c>
      <c r="U757">
        <v>1.35</v>
      </c>
      <c r="V757">
        <v>2.74</v>
      </c>
      <c r="W757">
        <v>-3.72</v>
      </c>
      <c r="X757" t="s">
        <v>32</v>
      </c>
      <c r="Y757" t="s">
        <v>40</v>
      </c>
    </row>
    <row r="758" spans="1:25" x14ac:dyDescent="0.3">
      <c r="A758">
        <v>757</v>
      </c>
      <c r="B758" t="s">
        <v>174</v>
      </c>
      <c r="C758" t="s">
        <v>381</v>
      </c>
      <c r="D758" t="s">
        <v>36</v>
      </c>
      <c r="E758" t="s">
        <v>28</v>
      </c>
      <c r="F758">
        <v>3</v>
      </c>
      <c r="G758">
        <v>220</v>
      </c>
      <c r="H758">
        <v>660</v>
      </c>
      <c r="I758">
        <v>100</v>
      </c>
      <c r="J758">
        <v>300</v>
      </c>
      <c r="K758">
        <v>360</v>
      </c>
      <c r="L758" t="s">
        <v>44</v>
      </c>
      <c r="M758" t="s">
        <v>63</v>
      </c>
      <c r="N758" t="s">
        <v>81</v>
      </c>
      <c r="O758">
        <v>21.96</v>
      </c>
      <c r="P758">
        <v>45.23</v>
      </c>
      <c r="Q758">
        <v>5.76</v>
      </c>
      <c r="R758">
        <v>28.43</v>
      </c>
      <c r="S758">
        <v>3.56</v>
      </c>
      <c r="T758">
        <v>13.48</v>
      </c>
      <c r="U758">
        <v>6.53</v>
      </c>
      <c r="V758">
        <v>2.09</v>
      </c>
      <c r="W758">
        <v>232.96</v>
      </c>
      <c r="X758" t="s">
        <v>32</v>
      </c>
      <c r="Y758" t="s">
        <v>33</v>
      </c>
    </row>
    <row r="759" spans="1:25" x14ac:dyDescent="0.3">
      <c r="A759">
        <v>758</v>
      </c>
      <c r="B759" t="s">
        <v>258</v>
      </c>
      <c r="C759" t="s">
        <v>324</v>
      </c>
      <c r="D759" t="s">
        <v>109</v>
      </c>
      <c r="E759" t="s">
        <v>50</v>
      </c>
      <c r="F759">
        <v>1</v>
      </c>
      <c r="G759">
        <v>150</v>
      </c>
      <c r="H759">
        <v>150</v>
      </c>
      <c r="I759">
        <v>70</v>
      </c>
      <c r="J759">
        <v>70</v>
      </c>
      <c r="K759">
        <v>80</v>
      </c>
      <c r="L759" t="s">
        <v>37</v>
      </c>
      <c r="M759" t="s">
        <v>63</v>
      </c>
      <c r="N759" t="s">
        <v>31</v>
      </c>
      <c r="O759">
        <v>28.02</v>
      </c>
      <c r="P759">
        <v>52.12</v>
      </c>
      <c r="Q759">
        <v>8.35</v>
      </c>
      <c r="R759">
        <v>0.89</v>
      </c>
      <c r="S759">
        <v>3.03</v>
      </c>
      <c r="T759">
        <v>7.71</v>
      </c>
      <c r="U759">
        <v>2.77</v>
      </c>
      <c r="V759">
        <v>0.28999999999999998</v>
      </c>
      <c r="W759">
        <v>-23.18</v>
      </c>
      <c r="X759" t="s">
        <v>66</v>
      </c>
      <c r="Y759" t="s">
        <v>33</v>
      </c>
    </row>
    <row r="760" spans="1:25" x14ac:dyDescent="0.3">
      <c r="A760">
        <v>759</v>
      </c>
      <c r="B760" t="s">
        <v>285</v>
      </c>
      <c r="C760" t="s">
        <v>496</v>
      </c>
      <c r="D760" t="s">
        <v>49</v>
      </c>
      <c r="E760" t="s">
        <v>50</v>
      </c>
      <c r="F760">
        <v>1</v>
      </c>
      <c r="G760">
        <v>180</v>
      </c>
      <c r="H760">
        <v>180</v>
      </c>
      <c r="I760">
        <v>90</v>
      </c>
      <c r="J760">
        <v>90</v>
      </c>
      <c r="K760">
        <v>90</v>
      </c>
      <c r="L760" t="s">
        <v>37</v>
      </c>
      <c r="M760" t="s">
        <v>30</v>
      </c>
      <c r="N760" t="s">
        <v>31</v>
      </c>
      <c r="O760">
        <v>35.82</v>
      </c>
      <c r="P760">
        <v>47.28</v>
      </c>
      <c r="Q760">
        <v>14.23</v>
      </c>
      <c r="R760">
        <v>0.35</v>
      </c>
      <c r="S760">
        <v>0.78</v>
      </c>
      <c r="T760">
        <v>9.31</v>
      </c>
      <c r="U760">
        <v>3.33</v>
      </c>
      <c r="V760">
        <v>1.27</v>
      </c>
      <c r="W760">
        <v>-22.37</v>
      </c>
      <c r="X760" t="s">
        <v>32</v>
      </c>
      <c r="Y760" t="s">
        <v>33</v>
      </c>
    </row>
    <row r="761" spans="1:25" x14ac:dyDescent="0.3">
      <c r="A761">
        <v>760</v>
      </c>
      <c r="B761" t="s">
        <v>105</v>
      </c>
      <c r="C761" t="s">
        <v>416</v>
      </c>
      <c r="D761" t="s">
        <v>27</v>
      </c>
      <c r="E761" t="s">
        <v>28</v>
      </c>
      <c r="F761">
        <v>2</v>
      </c>
      <c r="G761">
        <v>200</v>
      </c>
      <c r="H761">
        <v>400</v>
      </c>
      <c r="I761">
        <v>90</v>
      </c>
      <c r="J761">
        <v>180</v>
      </c>
      <c r="K761">
        <v>220</v>
      </c>
      <c r="L761" t="s">
        <v>55</v>
      </c>
      <c r="M761" t="s">
        <v>38</v>
      </c>
      <c r="N761" t="s">
        <v>90</v>
      </c>
      <c r="O761">
        <v>39.01</v>
      </c>
      <c r="P761">
        <v>30.55</v>
      </c>
      <c r="Q761">
        <v>8</v>
      </c>
      <c r="R761">
        <v>30.13</v>
      </c>
      <c r="S761">
        <v>2.27</v>
      </c>
      <c r="T761">
        <v>5.82</v>
      </c>
      <c r="U761">
        <v>3.63</v>
      </c>
      <c r="V761">
        <v>2.35</v>
      </c>
      <c r="W761">
        <v>98.24</v>
      </c>
      <c r="X761" t="s">
        <v>66</v>
      </c>
      <c r="Y761" t="s">
        <v>40</v>
      </c>
    </row>
    <row r="762" spans="1:25" x14ac:dyDescent="0.3">
      <c r="A762">
        <v>761</v>
      </c>
      <c r="B762" t="s">
        <v>82</v>
      </c>
      <c r="C762" t="s">
        <v>321</v>
      </c>
      <c r="D762" t="s">
        <v>27</v>
      </c>
      <c r="E762" t="s">
        <v>28</v>
      </c>
      <c r="F762">
        <v>4</v>
      </c>
      <c r="G762">
        <v>200</v>
      </c>
      <c r="H762">
        <v>800</v>
      </c>
      <c r="I762">
        <v>90</v>
      </c>
      <c r="J762">
        <v>360</v>
      </c>
      <c r="K762">
        <v>440</v>
      </c>
      <c r="L762" t="s">
        <v>29</v>
      </c>
      <c r="M762" t="s">
        <v>56</v>
      </c>
      <c r="N762" t="s">
        <v>51</v>
      </c>
      <c r="O762">
        <v>19.48</v>
      </c>
      <c r="P762">
        <v>26.16</v>
      </c>
      <c r="Q762">
        <v>11.87</v>
      </c>
      <c r="R762">
        <v>4.25</v>
      </c>
      <c r="S762">
        <v>2.2799999999999998</v>
      </c>
      <c r="T762">
        <v>13.74</v>
      </c>
      <c r="U762">
        <v>2.21</v>
      </c>
      <c r="V762">
        <v>1.27</v>
      </c>
      <c r="W762">
        <v>358.74</v>
      </c>
      <c r="X762" t="s">
        <v>32</v>
      </c>
      <c r="Y762" t="s">
        <v>33</v>
      </c>
    </row>
    <row r="763" spans="1:25" x14ac:dyDescent="0.3">
      <c r="A763">
        <v>762</v>
      </c>
      <c r="B763" t="s">
        <v>419</v>
      </c>
      <c r="C763" t="s">
        <v>384</v>
      </c>
      <c r="D763" t="s">
        <v>27</v>
      </c>
      <c r="E763" t="s">
        <v>28</v>
      </c>
      <c r="F763">
        <v>2</v>
      </c>
      <c r="G763">
        <v>200</v>
      </c>
      <c r="H763">
        <v>400</v>
      </c>
      <c r="I763">
        <v>90</v>
      </c>
      <c r="J763">
        <v>180</v>
      </c>
      <c r="K763">
        <v>220</v>
      </c>
      <c r="L763" t="s">
        <v>37</v>
      </c>
      <c r="M763" t="s">
        <v>56</v>
      </c>
      <c r="N763" t="s">
        <v>90</v>
      </c>
      <c r="O763">
        <v>15.21</v>
      </c>
      <c r="P763">
        <v>52.55</v>
      </c>
      <c r="Q763">
        <v>16.66</v>
      </c>
      <c r="R763">
        <v>27.84</v>
      </c>
      <c r="S763">
        <v>0.33</v>
      </c>
      <c r="T763">
        <v>10.27</v>
      </c>
      <c r="U763">
        <v>4.95</v>
      </c>
      <c r="V763">
        <v>0.5</v>
      </c>
      <c r="W763">
        <v>91.69</v>
      </c>
      <c r="X763" t="s">
        <v>57</v>
      </c>
      <c r="Y763" t="s">
        <v>40</v>
      </c>
    </row>
    <row r="764" spans="1:25" x14ac:dyDescent="0.3">
      <c r="A764">
        <v>763</v>
      </c>
      <c r="B764" t="s">
        <v>168</v>
      </c>
      <c r="C764" t="s">
        <v>345</v>
      </c>
      <c r="D764" t="s">
        <v>27</v>
      </c>
      <c r="E764" t="s">
        <v>28</v>
      </c>
      <c r="F764">
        <v>2</v>
      </c>
      <c r="G764">
        <v>200</v>
      </c>
      <c r="H764">
        <v>400</v>
      </c>
      <c r="I764">
        <v>90</v>
      </c>
      <c r="J764">
        <v>180</v>
      </c>
      <c r="K764">
        <v>220</v>
      </c>
      <c r="L764" t="s">
        <v>55</v>
      </c>
      <c r="M764" t="s">
        <v>56</v>
      </c>
      <c r="N764" t="s">
        <v>51</v>
      </c>
      <c r="O764">
        <v>14.13</v>
      </c>
      <c r="P764">
        <v>34.299999999999997</v>
      </c>
      <c r="Q764">
        <v>15.48</v>
      </c>
      <c r="R764">
        <v>13.27</v>
      </c>
      <c r="S764">
        <v>1.37</v>
      </c>
      <c r="T764">
        <v>14.62</v>
      </c>
      <c r="U764">
        <v>3.89</v>
      </c>
      <c r="V764">
        <v>1.03</v>
      </c>
      <c r="W764">
        <v>121.91</v>
      </c>
      <c r="X764" t="s">
        <v>57</v>
      </c>
      <c r="Y764" t="s">
        <v>40</v>
      </c>
    </row>
    <row r="765" spans="1:25" x14ac:dyDescent="0.3">
      <c r="A765">
        <v>764</v>
      </c>
      <c r="B765" t="s">
        <v>213</v>
      </c>
      <c r="C765" t="s">
        <v>162</v>
      </c>
      <c r="D765" t="s">
        <v>89</v>
      </c>
      <c r="E765" t="s">
        <v>28</v>
      </c>
      <c r="F765">
        <v>3</v>
      </c>
      <c r="G765">
        <v>180</v>
      </c>
      <c r="H765">
        <v>540</v>
      </c>
      <c r="I765">
        <v>75</v>
      </c>
      <c r="J765">
        <v>225</v>
      </c>
      <c r="K765">
        <v>315</v>
      </c>
      <c r="L765" t="s">
        <v>44</v>
      </c>
      <c r="M765" t="s">
        <v>63</v>
      </c>
      <c r="N765" t="s">
        <v>81</v>
      </c>
      <c r="O765">
        <v>14.45</v>
      </c>
      <c r="P765">
        <v>41.52</v>
      </c>
      <c r="Q765">
        <v>19.48</v>
      </c>
      <c r="R765">
        <v>5.77</v>
      </c>
      <c r="S765">
        <v>0.84</v>
      </c>
      <c r="T765">
        <v>5.5</v>
      </c>
      <c r="U765">
        <v>4.0999999999999996</v>
      </c>
      <c r="V765">
        <v>1.51</v>
      </c>
      <c r="W765">
        <v>221.83</v>
      </c>
      <c r="X765" t="s">
        <v>32</v>
      </c>
      <c r="Y765" t="s">
        <v>40</v>
      </c>
    </row>
    <row r="766" spans="1:25" x14ac:dyDescent="0.3">
      <c r="A766">
        <v>765</v>
      </c>
      <c r="B766" t="s">
        <v>154</v>
      </c>
      <c r="C766" t="s">
        <v>217</v>
      </c>
      <c r="D766" t="s">
        <v>36</v>
      </c>
      <c r="E766" t="s">
        <v>28</v>
      </c>
      <c r="F766">
        <v>2</v>
      </c>
      <c r="G766">
        <v>220</v>
      </c>
      <c r="H766">
        <v>440</v>
      </c>
      <c r="I766">
        <v>100</v>
      </c>
      <c r="J766">
        <v>200</v>
      </c>
      <c r="K766">
        <v>240</v>
      </c>
      <c r="L766" t="s">
        <v>55</v>
      </c>
      <c r="M766" t="s">
        <v>63</v>
      </c>
      <c r="N766" t="s">
        <v>51</v>
      </c>
      <c r="O766">
        <v>13.55</v>
      </c>
      <c r="P766">
        <v>52.16</v>
      </c>
      <c r="Q766">
        <v>10.45</v>
      </c>
      <c r="R766">
        <v>1.52</v>
      </c>
      <c r="S766">
        <v>3.28</v>
      </c>
      <c r="T766">
        <v>9.76</v>
      </c>
      <c r="U766">
        <v>7.57</v>
      </c>
      <c r="V766">
        <v>2.64</v>
      </c>
      <c r="W766">
        <v>139.07</v>
      </c>
      <c r="X766" t="s">
        <v>57</v>
      </c>
      <c r="Y766" t="s">
        <v>40</v>
      </c>
    </row>
    <row r="767" spans="1:25" x14ac:dyDescent="0.3">
      <c r="A767">
        <v>766</v>
      </c>
      <c r="B767" t="s">
        <v>159</v>
      </c>
      <c r="C767" t="s">
        <v>522</v>
      </c>
      <c r="D767" t="s">
        <v>54</v>
      </c>
      <c r="E767" t="s">
        <v>28</v>
      </c>
      <c r="F767">
        <v>2</v>
      </c>
      <c r="G767">
        <v>120</v>
      </c>
      <c r="H767">
        <v>240</v>
      </c>
      <c r="I767">
        <v>50</v>
      </c>
      <c r="J767">
        <v>100</v>
      </c>
      <c r="K767">
        <v>140</v>
      </c>
      <c r="L767" t="s">
        <v>44</v>
      </c>
      <c r="M767" t="s">
        <v>63</v>
      </c>
      <c r="N767" t="s">
        <v>39</v>
      </c>
      <c r="O767">
        <v>26.89</v>
      </c>
      <c r="P767">
        <v>40.24</v>
      </c>
      <c r="Q767">
        <v>6.52</v>
      </c>
      <c r="R767">
        <v>27.75</v>
      </c>
      <c r="S767">
        <v>2.27</v>
      </c>
      <c r="T767">
        <v>3.18</v>
      </c>
      <c r="U767">
        <v>2.69</v>
      </c>
      <c r="V767">
        <v>2.58</v>
      </c>
      <c r="W767">
        <v>27.88</v>
      </c>
      <c r="X767" t="s">
        <v>66</v>
      </c>
      <c r="Y767" t="s">
        <v>33</v>
      </c>
    </row>
    <row r="768" spans="1:25" x14ac:dyDescent="0.3">
      <c r="A768">
        <v>767</v>
      </c>
      <c r="B768" t="s">
        <v>307</v>
      </c>
      <c r="C768" t="s">
        <v>545</v>
      </c>
      <c r="D768" t="s">
        <v>109</v>
      </c>
      <c r="E768" t="s">
        <v>50</v>
      </c>
      <c r="F768">
        <v>4</v>
      </c>
      <c r="G768">
        <v>150</v>
      </c>
      <c r="H768">
        <v>600</v>
      </c>
      <c r="I768">
        <v>70</v>
      </c>
      <c r="J768">
        <v>280</v>
      </c>
      <c r="K768">
        <v>320</v>
      </c>
      <c r="L768" t="s">
        <v>29</v>
      </c>
      <c r="M768" t="s">
        <v>30</v>
      </c>
      <c r="N768" t="s">
        <v>81</v>
      </c>
      <c r="O768">
        <v>12.86</v>
      </c>
      <c r="P768">
        <v>16.8</v>
      </c>
      <c r="Q768">
        <v>8.27</v>
      </c>
      <c r="R768">
        <v>22.46</v>
      </c>
      <c r="S768">
        <v>0.75</v>
      </c>
      <c r="T768">
        <v>11.9</v>
      </c>
      <c r="U768">
        <v>6.42</v>
      </c>
      <c r="V768">
        <v>0.16</v>
      </c>
      <c r="W768">
        <v>240.38</v>
      </c>
      <c r="X768" t="s">
        <v>66</v>
      </c>
      <c r="Y768" t="s">
        <v>33</v>
      </c>
    </row>
    <row r="769" spans="1:25" x14ac:dyDescent="0.3">
      <c r="A769">
        <v>768</v>
      </c>
      <c r="B769" t="s">
        <v>25</v>
      </c>
      <c r="C769" t="s">
        <v>208</v>
      </c>
      <c r="D769" t="s">
        <v>89</v>
      </c>
      <c r="E769" t="s">
        <v>28</v>
      </c>
      <c r="F769">
        <v>1</v>
      </c>
      <c r="G769">
        <v>180</v>
      </c>
      <c r="H769">
        <v>180</v>
      </c>
      <c r="I769">
        <v>75</v>
      </c>
      <c r="J769">
        <v>75</v>
      </c>
      <c r="K769">
        <v>105</v>
      </c>
      <c r="L769" t="s">
        <v>55</v>
      </c>
      <c r="M769" t="s">
        <v>38</v>
      </c>
      <c r="N769" t="s">
        <v>39</v>
      </c>
      <c r="O769">
        <v>23.09</v>
      </c>
      <c r="P769">
        <v>55.89</v>
      </c>
      <c r="Q769">
        <v>8.7100000000000009</v>
      </c>
      <c r="R769">
        <v>25.54</v>
      </c>
      <c r="S769">
        <v>3.24</v>
      </c>
      <c r="T769">
        <v>14.57</v>
      </c>
      <c r="U769">
        <v>2.6</v>
      </c>
      <c r="V769">
        <v>0.08</v>
      </c>
      <c r="W769">
        <v>-28.72</v>
      </c>
      <c r="X769" t="s">
        <v>32</v>
      </c>
      <c r="Y769" t="s">
        <v>33</v>
      </c>
    </row>
    <row r="770" spans="1:25" x14ac:dyDescent="0.3">
      <c r="A770">
        <v>769</v>
      </c>
      <c r="B770" t="s">
        <v>268</v>
      </c>
      <c r="C770" t="s">
        <v>373</v>
      </c>
      <c r="D770" t="s">
        <v>89</v>
      </c>
      <c r="E770" t="s">
        <v>28</v>
      </c>
      <c r="F770">
        <v>2</v>
      </c>
      <c r="G770">
        <v>180</v>
      </c>
      <c r="H770">
        <v>360</v>
      </c>
      <c r="I770">
        <v>75</v>
      </c>
      <c r="J770">
        <v>150</v>
      </c>
      <c r="K770">
        <v>210</v>
      </c>
      <c r="L770" t="s">
        <v>37</v>
      </c>
      <c r="M770" t="s">
        <v>45</v>
      </c>
      <c r="N770" t="s">
        <v>31</v>
      </c>
      <c r="O770">
        <v>19.809999999999999</v>
      </c>
      <c r="P770">
        <v>38.22</v>
      </c>
      <c r="Q770">
        <v>19.95</v>
      </c>
      <c r="R770">
        <v>3.96</v>
      </c>
      <c r="S770">
        <v>2.65</v>
      </c>
      <c r="T770">
        <v>2.82</v>
      </c>
      <c r="U770">
        <v>1.29</v>
      </c>
      <c r="V770">
        <v>0.78</v>
      </c>
      <c r="W770">
        <v>120.52</v>
      </c>
      <c r="X770" t="s">
        <v>57</v>
      </c>
      <c r="Y770" t="s">
        <v>40</v>
      </c>
    </row>
    <row r="771" spans="1:25" x14ac:dyDescent="0.3">
      <c r="A771">
        <v>770</v>
      </c>
      <c r="B771" t="s">
        <v>221</v>
      </c>
      <c r="C771" t="s">
        <v>468</v>
      </c>
      <c r="D771" t="s">
        <v>89</v>
      </c>
      <c r="E771" t="s">
        <v>28</v>
      </c>
      <c r="F771">
        <v>1</v>
      </c>
      <c r="G771">
        <v>180</v>
      </c>
      <c r="H771">
        <v>180</v>
      </c>
      <c r="I771">
        <v>75</v>
      </c>
      <c r="J771">
        <v>75</v>
      </c>
      <c r="K771">
        <v>105</v>
      </c>
      <c r="L771" t="s">
        <v>44</v>
      </c>
      <c r="M771" t="s">
        <v>30</v>
      </c>
      <c r="N771" t="s">
        <v>31</v>
      </c>
      <c r="O771">
        <v>13.41</v>
      </c>
      <c r="P771">
        <v>27.08</v>
      </c>
      <c r="Q771">
        <v>9.1300000000000008</v>
      </c>
      <c r="R771">
        <v>25.94</v>
      </c>
      <c r="S771">
        <v>0.84</v>
      </c>
      <c r="T771">
        <v>6.5</v>
      </c>
      <c r="U771">
        <v>7.01</v>
      </c>
      <c r="V771">
        <v>2.2599999999999998</v>
      </c>
      <c r="W771">
        <v>12.83</v>
      </c>
      <c r="X771" t="s">
        <v>57</v>
      </c>
      <c r="Y771" t="s">
        <v>40</v>
      </c>
    </row>
    <row r="772" spans="1:25" x14ac:dyDescent="0.3">
      <c r="A772">
        <v>771</v>
      </c>
      <c r="B772" t="s">
        <v>303</v>
      </c>
      <c r="C772" t="s">
        <v>546</v>
      </c>
      <c r="D772" t="s">
        <v>49</v>
      </c>
      <c r="E772" t="s">
        <v>50</v>
      </c>
      <c r="F772">
        <v>1</v>
      </c>
      <c r="G772">
        <v>180</v>
      </c>
      <c r="H772">
        <v>180</v>
      </c>
      <c r="I772">
        <v>90</v>
      </c>
      <c r="J772">
        <v>90</v>
      </c>
      <c r="K772">
        <v>90</v>
      </c>
      <c r="L772" t="s">
        <v>29</v>
      </c>
      <c r="M772" t="s">
        <v>38</v>
      </c>
      <c r="N772" t="s">
        <v>81</v>
      </c>
      <c r="O772">
        <v>39.270000000000003</v>
      </c>
      <c r="P772">
        <v>38.79</v>
      </c>
      <c r="Q772">
        <v>7.78</v>
      </c>
      <c r="R772">
        <v>5.89</v>
      </c>
      <c r="S772">
        <v>2.36</v>
      </c>
      <c r="T772">
        <v>3.62</v>
      </c>
      <c r="U772">
        <v>3.4</v>
      </c>
      <c r="V772">
        <v>1.04</v>
      </c>
      <c r="W772">
        <v>-12.15</v>
      </c>
      <c r="X772" t="s">
        <v>57</v>
      </c>
      <c r="Y772" t="s">
        <v>40</v>
      </c>
    </row>
    <row r="773" spans="1:25" x14ac:dyDescent="0.3">
      <c r="A773">
        <v>772</v>
      </c>
      <c r="B773" t="s">
        <v>327</v>
      </c>
      <c r="C773" t="s">
        <v>319</v>
      </c>
      <c r="D773" t="s">
        <v>36</v>
      </c>
      <c r="E773" t="s">
        <v>28</v>
      </c>
      <c r="F773">
        <v>1</v>
      </c>
      <c r="G773">
        <v>220</v>
      </c>
      <c r="H773">
        <v>220</v>
      </c>
      <c r="I773">
        <v>100</v>
      </c>
      <c r="J773">
        <v>100</v>
      </c>
      <c r="K773">
        <v>120</v>
      </c>
      <c r="L773" t="s">
        <v>55</v>
      </c>
      <c r="M773" t="s">
        <v>45</v>
      </c>
      <c r="N773" t="s">
        <v>90</v>
      </c>
      <c r="O773">
        <v>16.920000000000002</v>
      </c>
      <c r="P773">
        <v>22.01</v>
      </c>
      <c r="Q773">
        <v>15.44</v>
      </c>
      <c r="R773">
        <v>20.87</v>
      </c>
      <c r="S773">
        <v>0.25</v>
      </c>
      <c r="T773">
        <v>4.2300000000000004</v>
      </c>
      <c r="U773">
        <v>4.9800000000000004</v>
      </c>
      <c r="V773">
        <v>1.22</v>
      </c>
      <c r="W773">
        <v>34.08</v>
      </c>
      <c r="X773" t="s">
        <v>66</v>
      </c>
      <c r="Y773" t="s">
        <v>33</v>
      </c>
    </row>
    <row r="774" spans="1:25" x14ac:dyDescent="0.3">
      <c r="A774">
        <v>773</v>
      </c>
      <c r="B774" t="s">
        <v>170</v>
      </c>
      <c r="C774" t="s">
        <v>341</v>
      </c>
      <c r="D774" t="s">
        <v>89</v>
      </c>
      <c r="E774" t="s">
        <v>28</v>
      </c>
      <c r="F774">
        <v>2</v>
      </c>
      <c r="G774">
        <v>180</v>
      </c>
      <c r="H774">
        <v>360</v>
      </c>
      <c r="I774">
        <v>75</v>
      </c>
      <c r="J774">
        <v>150</v>
      </c>
      <c r="K774">
        <v>210</v>
      </c>
      <c r="L774" t="s">
        <v>86</v>
      </c>
      <c r="M774" t="s">
        <v>30</v>
      </c>
      <c r="N774" t="s">
        <v>81</v>
      </c>
      <c r="O774">
        <v>19.66</v>
      </c>
      <c r="P774">
        <v>54.96</v>
      </c>
      <c r="Q774">
        <v>11.43</v>
      </c>
      <c r="R774">
        <v>10.81</v>
      </c>
      <c r="S774">
        <v>0.26</v>
      </c>
      <c r="T774">
        <v>7.08</v>
      </c>
      <c r="U774">
        <v>4.55</v>
      </c>
      <c r="V774">
        <v>2.0499999999999998</v>
      </c>
      <c r="W774">
        <v>99.2</v>
      </c>
      <c r="X774" t="s">
        <v>32</v>
      </c>
      <c r="Y774" t="s">
        <v>40</v>
      </c>
    </row>
    <row r="775" spans="1:25" x14ac:dyDescent="0.3">
      <c r="A775">
        <v>774</v>
      </c>
      <c r="B775" t="s">
        <v>433</v>
      </c>
      <c r="C775" t="s">
        <v>331</v>
      </c>
      <c r="D775" t="s">
        <v>49</v>
      </c>
      <c r="E775" t="s">
        <v>50</v>
      </c>
      <c r="F775">
        <v>2</v>
      </c>
      <c r="G775">
        <v>180</v>
      </c>
      <c r="H775">
        <v>360</v>
      </c>
      <c r="I775">
        <v>90</v>
      </c>
      <c r="J775">
        <v>180</v>
      </c>
      <c r="K775">
        <v>180</v>
      </c>
      <c r="L775" t="s">
        <v>55</v>
      </c>
      <c r="M775" t="s">
        <v>56</v>
      </c>
      <c r="N775" t="s">
        <v>90</v>
      </c>
      <c r="O775">
        <v>37.18</v>
      </c>
      <c r="P775">
        <v>43.91</v>
      </c>
      <c r="Q775">
        <v>14.8</v>
      </c>
      <c r="R775">
        <v>1.29</v>
      </c>
      <c r="S775">
        <v>3.83</v>
      </c>
      <c r="T775">
        <v>3.25</v>
      </c>
      <c r="U775">
        <v>1.99</v>
      </c>
      <c r="V775">
        <v>0.34</v>
      </c>
      <c r="W775">
        <v>73.41</v>
      </c>
      <c r="X775" t="s">
        <v>32</v>
      </c>
      <c r="Y775" t="s">
        <v>33</v>
      </c>
    </row>
    <row r="776" spans="1:25" x14ac:dyDescent="0.3">
      <c r="A776">
        <v>775</v>
      </c>
      <c r="B776" t="s">
        <v>166</v>
      </c>
      <c r="C776" t="s">
        <v>429</v>
      </c>
      <c r="D776" t="s">
        <v>49</v>
      </c>
      <c r="E776" t="s">
        <v>50</v>
      </c>
      <c r="F776">
        <v>3</v>
      </c>
      <c r="G776">
        <v>180</v>
      </c>
      <c r="H776">
        <v>540</v>
      </c>
      <c r="I776">
        <v>90</v>
      </c>
      <c r="J776">
        <v>270</v>
      </c>
      <c r="K776">
        <v>270</v>
      </c>
      <c r="L776" t="s">
        <v>29</v>
      </c>
      <c r="M776" t="s">
        <v>30</v>
      </c>
      <c r="N776" t="s">
        <v>90</v>
      </c>
      <c r="O776">
        <v>37.520000000000003</v>
      </c>
      <c r="P776">
        <v>17.14</v>
      </c>
      <c r="Q776">
        <v>11.02</v>
      </c>
      <c r="R776">
        <v>28.86</v>
      </c>
      <c r="S776">
        <v>4.38</v>
      </c>
      <c r="T776">
        <v>6.87</v>
      </c>
      <c r="U776">
        <v>1.87</v>
      </c>
      <c r="V776">
        <v>0.56000000000000005</v>
      </c>
      <c r="W776">
        <v>161.78</v>
      </c>
      <c r="X776" t="s">
        <v>32</v>
      </c>
      <c r="Y776" t="s">
        <v>40</v>
      </c>
    </row>
    <row r="777" spans="1:25" x14ac:dyDescent="0.3">
      <c r="A777">
        <v>776</v>
      </c>
      <c r="B777" t="s">
        <v>454</v>
      </c>
      <c r="C777" t="s">
        <v>443</v>
      </c>
      <c r="D777" t="s">
        <v>54</v>
      </c>
      <c r="E777" t="s">
        <v>28</v>
      </c>
      <c r="F777">
        <v>1</v>
      </c>
      <c r="G777">
        <v>120</v>
      </c>
      <c r="H777">
        <v>120</v>
      </c>
      <c r="I777">
        <v>50</v>
      </c>
      <c r="J777">
        <v>50</v>
      </c>
      <c r="K777">
        <v>70</v>
      </c>
      <c r="L777" t="s">
        <v>37</v>
      </c>
      <c r="M777" t="s">
        <v>45</v>
      </c>
      <c r="N777" t="s">
        <v>51</v>
      </c>
      <c r="O777">
        <v>21.76</v>
      </c>
      <c r="P777">
        <v>39.32</v>
      </c>
      <c r="Q777">
        <v>8.4700000000000006</v>
      </c>
      <c r="R777">
        <v>20.23</v>
      </c>
      <c r="S777">
        <v>3.57</v>
      </c>
      <c r="T777">
        <v>11.99</v>
      </c>
      <c r="U777">
        <v>3.22</v>
      </c>
      <c r="V777">
        <v>0</v>
      </c>
      <c r="W777">
        <v>-38.56</v>
      </c>
      <c r="X777" t="s">
        <v>32</v>
      </c>
      <c r="Y777" t="s">
        <v>40</v>
      </c>
    </row>
    <row r="778" spans="1:25" x14ac:dyDescent="0.3">
      <c r="A778">
        <v>777</v>
      </c>
      <c r="B778" t="s">
        <v>314</v>
      </c>
      <c r="C778" t="s">
        <v>146</v>
      </c>
      <c r="D778" t="s">
        <v>109</v>
      </c>
      <c r="E778" t="s">
        <v>50</v>
      </c>
      <c r="F778">
        <v>3</v>
      </c>
      <c r="G778">
        <v>150</v>
      </c>
      <c r="H778">
        <v>450</v>
      </c>
      <c r="I778">
        <v>70</v>
      </c>
      <c r="J778">
        <v>210</v>
      </c>
      <c r="K778">
        <v>240</v>
      </c>
      <c r="L778" t="s">
        <v>86</v>
      </c>
      <c r="M778" t="s">
        <v>63</v>
      </c>
      <c r="N778" t="s">
        <v>90</v>
      </c>
      <c r="O778">
        <v>34.92</v>
      </c>
      <c r="P778">
        <v>29.74</v>
      </c>
      <c r="Q778">
        <v>18.760000000000002</v>
      </c>
      <c r="R778">
        <v>13.69</v>
      </c>
      <c r="S778">
        <v>3.55</v>
      </c>
      <c r="T778">
        <v>2.89</v>
      </c>
      <c r="U778">
        <v>6.66</v>
      </c>
      <c r="V778">
        <v>2.29</v>
      </c>
      <c r="W778">
        <v>127.5</v>
      </c>
      <c r="X778" t="s">
        <v>57</v>
      </c>
      <c r="Y778" t="s">
        <v>40</v>
      </c>
    </row>
    <row r="779" spans="1:25" x14ac:dyDescent="0.3">
      <c r="A779">
        <v>778</v>
      </c>
      <c r="B779" t="s">
        <v>180</v>
      </c>
      <c r="C779" t="s">
        <v>94</v>
      </c>
      <c r="D779" t="s">
        <v>27</v>
      </c>
      <c r="E779" t="s">
        <v>28</v>
      </c>
      <c r="F779">
        <v>4</v>
      </c>
      <c r="G779">
        <v>200</v>
      </c>
      <c r="H779">
        <v>800</v>
      </c>
      <c r="I779">
        <v>90</v>
      </c>
      <c r="J779">
        <v>360</v>
      </c>
      <c r="K779">
        <v>440</v>
      </c>
      <c r="L779" t="s">
        <v>86</v>
      </c>
      <c r="M779" t="s">
        <v>45</v>
      </c>
      <c r="N779" t="s">
        <v>81</v>
      </c>
      <c r="O779">
        <v>38.54</v>
      </c>
      <c r="P779">
        <v>28.41</v>
      </c>
      <c r="Q779">
        <v>6.66</v>
      </c>
      <c r="R779">
        <v>32.130000000000003</v>
      </c>
      <c r="S779">
        <v>3.51</v>
      </c>
      <c r="T779">
        <v>8.77</v>
      </c>
      <c r="U779">
        <v>1.35</v>
      </c>
      <c r="V779">
        <v>2.78</v>
      </c>
      <c r="W779">
        <v>317.85000000000002</v>
      </c>
      <c r="X779" t="s">
        <v>57</v>
      </c>
      <c r="Y779" t="s">
        <v>40</v>
      </c>
    </row>
    <row r="780" spans="1:25" x14ac:dyDescent="0.3">
      <c r="A780">
        <v>779</v>
      </c>
      <c r="B780" t="s">
        <v>64</v>
      </c>
      <c r="C780" t="s">
        <v>392</v>
      </c>
      <c r="D780" t="s">
        <v>36</v>
      </c>
      <c r="E780" t="s">
        <v>28</v>
      </c>
      <c r="F780">
        <v>2</v>
      </c>
      <c r="G780">
        <v>220</v>
      </c>
      <c r="H780">
        <v>440</v>
      </c>
      <c r="I780">
        <v>100</v>
      </c>
      <c r="J780">
        <v>200</v>
      </c>
      <c r="K780">
        <v>240</v>
      </c>
      <c r="L780" t="s">
        <v>55</v>
      </c>
      <c r="M780" t="s">
        <v>56</v>
      </c>
      <c r="N780" t="s">
        <v>31</v>
      </c>
      <c r="O780">
        <v>27.32</v>
      </c>
      <c r="P780">
        <v>59.57</v>
      </c>
      <c r="Q780">
        <v>8.9700000000000006</v>
      </c>
      <c r="R780">
        <v>4.43</v>
      </c>
      <c r="S780">
        <v>1.32</v>
      </c>
      <c r="T780">
        <v>2.92</v>
      </c>
      <c r="U780">
        <v>7.5</v>
      </c>
      <c r="V780">
        <v>1.81</v>
      </c>
      <c r="W780">
        <v>126.16</v>
      </c>
      <c r="X780" t="s">
        <v>66</v>
      </c>
      <c r="Y780" t="s">
        <v>33</v>
      </c>
    </row>
    <row r="781" spans="1:25" x14ac:dyDescent="0.3">
      <c r="A781">
        <v>780</v>
      </c>
      <c r="B781" t="s">
        <v>478</v>
      </c>
      <c r="C781" t="s">
        <v>218</v>
      </c>
      <c r="D781" t="s">
        <v>36</v>
      </c>
      <c r="E781" t="s">
        <v>28</v>
      </c>
      <c r="F781">
        <v>1</v>
      </c>
      <c r="G781">
        <v>220</v>
      </c>
      <c r="H781">
        <v>220</v>
      </c>
      <c r="I781">
        <v>100</v>
      </c>
      <c r="J781">
        <v>100</v>
      </c>
      <c r="K781">
        <v>120</v>
      </c>
      <c r="L781" t="s">
        <v>44</v>
      </c>
      <c r="M781" t="s">
        <v>30</v>
      </c>
      <c r="N781" t="s">
        <v>90</v>
      </c>
      <c r="O781">
        <v>19.420000000000002</v>
      </c>
      <c r="P781">
        <v>34.65</v>
      </c>
      <c r="Q781">
        <v>8.2799999999999994</v>
      </c>
      <c r="R781">
        <v>26.05</v>
      </c>
      <c r="S781">
        <v>2.4300000000000002</v>
      </c>
      <c r="T781">
        <v>12.28</v>
      </c>
      <c r="U781">
        <v>5.9</v>
      </c>
      <c r="V781">
        <v>1.03</v>
      </c>
      <c r="W781">
        <v>9.9600000000000009</v>
      </c>
      <c r="X781" t="s">
        <v>32</v>
      </c>
      <c r="Y781" t="s">
        <v>33</v>
      </c>
    </row>
    <row r="782" spans="1:25" x14ac:dyDescent="0.3">
      <c r="A782">
        <v>781</v>
      </c>
      <c r="B782" t="s">
        <v>245</v>
      </c>
      <c r="C782" t="s">
        <v>487</v>
      </c>
      <c r="D782" t="s">
        <v>27</v>
      </c>
      <c r="E782" t="s">
        <v>28</v>
      </c>
      <c r="F782">
        <v>3</v>
      </c>
      <c r="G782">
        <v>200</v>
      </c>
      <c r="H782">
        <v>600</v>
      </c>
      <c r="I782">
        <v>90</v>
      </c>
      <c r="J782">
        <v>270</v>
      </c>
      <c r="K782">
        <v>330</v>
      </c>
      <c r="L782" t="s">
        <v>55</v>
      </c>
      <c r="M782" t="s">
        <v>45</v>
      </c>
      <c r="N782" t="s">
        <v>90</v>
      </c>
      <c r="O782">
        <v>26.71</v>
      </c>
      <c r="P782">
        <v>19.739999999999998</v>
      </c>
      <c r="Q782">
        <v>9.01</v>
      </c>
      <c r="R782">
        <v>12.23</v>
      </c>
      <c r="S782">
        <v>1.93</v>
      </c>
      <c r="T782">
        <v>9.23</v>
      </c>
      <c r="U782">
        <v>4.33</v>
      </c>
      <c r="V782">
        <v>0.71</v>
      </c>
      <c r="W782">
        <v>246.11</v>
      </c>
      <c r="X782" t="s">
        <v>57</v>
      </c>
      <c r="Y782" t="s">
        <v>40</v>
      </c>
    </row>
    <row r="783" spans="1:25" x14ac:dyDescent="0.3">
      <c r="A783">
        <v>782</v>
      </c>
      <c r="B783" t="s">
        <v>317</v>
      </c>
      <c r="C783" t="s">
        <v>360</v>
      </c>
      <c r="D783" t="s">
        <v>27</v>
      </c>
      <c r="E783" t="s">
        <v>28</v>
      </c>
      <c r="F783">
        <v>3</v>
      </c>
      <c r="G783">
        <v>200</v>
      </c>
      <c r="H783">
        <v>600</v>
      </c>
      <c r="I783">
        <v>90</v>
      </c>
      <c r="J783">
        <v>270</v>
      </c>
      <c r="K783">
        <v>330</v>
      </c>
      <c r="L783" t="s">
        <v>44</v>
      </c>
      <c r="M783" t="s">
        <v>30</v>
      </c>
      <c r="N783" t="s">
        <v>51</v>
      </c>
      <c r="O783">
        <v>33.57</v>
      </c>
      <c r="P783">
        <v>51.66</v>
      </c>
      <c r="Q783">
        <v>12.72</v>
      </c>
      <c r="R783">
        <v>18.760000000000002</v>
      </c>
      <c r="S783">
        <v>1.28</v>
      </c>
      <c r="T783">
        <v>11.62</v>
      </c>
      <c r="U783">
        <v>5.12</v>
      </c>
      <c r="V783">
        <v>1.32</v>
      </c>
      <c r="W783">
        <v>193.95</v>
      </c>
      <c r="X783" t="s">
        <v>66</v>
      </c>
      <c r="Y783" t="s">
        <v>40</v>
      </c>
    </row>
    <row r="784" spans="1:25" x14ac:dyDescent="0.3">
      <c r="A784">
        <v>783</v>
      </c>
      <c r="B784" t="s">
        <v>240</v>
      </c>
      <c r="C784" t="s">
        <v>470</v>
      </c>
      <c r="D784" t="s">
        <v>109</v>
      </c>
      <c r="E784" t="s">
        <v>50</v>
      </c>
      <c r="F784">
        <v>3</v>
      </c>
      <c r="G784">
        <v>150</v>
      </c>
      <c r="H784">
        <v>450</v>
      </c>
      <c r="I784">
        <v>70</v>
      </c>
      <c r="J784">
        <v>210</v>
      </c>
      <c r="K784">
        <v>240</v>
      </c>
      <c r="L784" t="s">
        <v>29</v>
      </c>
      <c r="M784" t="s">
        <v>38</v>
      </c>
      <c r="N784" t="s">
        <v>90</v>
      </c>
      <c r="O784">
        <v>32.79</v>
      </c>
      <c r="P784">
        <v>46.71</v>
      </c>
      <c r="Q784">
        <v>8.94</v>
      </c>
      <c r="R784">
        <v>18.739999999999998</v>
      </c>
      <c r="S784">
        <v>2.87</v>
      </c>
      <c r="T784">
        <v>6.57</v>
      </c>
      <c r="U784">
        <v>2.82</v>
      </c>
      <c r="V784">
        <v>1.17</v>
      </c>
      <c r="W784">
        <v>119.39</v>
      </c>
      <c r="X784" t="s">
        <v>66</v>
      </c>
      <c r="Y784" t="s">
        <v>33</v>
      </c>
    </row>
    <row r="785" spans="1:25" x14ac:dyDescent="0.3">
      <c r="A785">
        <v>784</v>
      </c>
      <c r="B785" t="s">
        <v>113</v>
      </c>
      <c r="C785" t="s">
        <v>175</v>
      </c>
      <c r="D785" t="s">
        <v>54</v>
      </c>
      <c r="E785" t="s">
        <v>28</v>
      </c>
      <c r="F785">
        <v>2</v>
      </c>
      <c r="G785">
        <v>120</v>
      </c>
      <c r="H785">
        <v>240</v>
      </c>
      <c r="I785">
        <v>50</v>
      </c>
      <c r="J785">
        <v>100</v>
      </c>
      <c r="K785">
        <v>140</v>
      </c>
      <c r="L785" t="s">
        <v>37</v>
      </c>
      <c r="M785" t="s">
        <v>45</v>
      </c>
      <c r="N785" t="s">
        <v>39</v>
      </c>
      <c r="O785">
        <v>28.55</v>
      </c>
      <c r="P785">
        <v>48.61</v>
      </c>
      <c r="Q785">
        <v>13.06</v>
      </c>
      <c r="R785">
        <v>4.0199999999999996</v>
      </c>
      <c r="S785">
        <v>2.11</v>
      </c>
      <c r="T785">
        <v>6.26</v>
      </c>
      <c r="U785">
        <v>2.89</v>
      </c>
      <c r="V785">
        <v>1.98</v>
      </c>
      <c r="W785">
        <v>32.520000000000003</v>
      </c>
      <c r="X785" t="s">
        <v>32</v>
      </c>
      <c r="Y785" t="s">
        <v>33</v>
      </c>
    </row>
    <row r="786" spans="1:25" x14ac:dyDescent="0.3">
      <c r="A786">
        <v>785</v>
      </c>
      <c r="B786" t="s">
        <v>253</v>
      </c>
      <c r="C786" t="s">
        <v>527</v>
      </c>
      <c r="D786" t="s">
        <v>27</v>
      </c>
      <c r="E786" t="s">
        <v>28</v>
      </c>
      <c r="F786">
        <v>2</v>
      </c>
      <c r="G786">
        <v>200</v>
      </c>
      <c r="H786">
        <v>400</v>
      </c>
      <c r="I786">
        <v>90</v>
      </c>
      <c r="J786">
        <v>180</v>
      </c>
      <c r="K786">
        <v>220</v>
      </c>
      <c r="L786" t="s">
        <v>29</v>
      </c>
      <c r="M786" t="s">
        <v>30</v>
      </c>
      <c r="N786" t="s">
        <v>90</v>
      </c>
      <c r="O786">
        <v>15.88</v>
      </c>
      <c r="P786">
        <v>51.21</v>
      </c>
      <c r="Q786">
        <v>10.65</v>
      </c>
      <c r="R786">
        <v>17.899999999999999</v>
      </c>
      <c r="S786">
        <v>1.27</v>
      </c>
      <c r="T786">
        <v>10.02</v>
      </c>
      <c r="U786">
        <v>1.44</v>
      </c>
      <c r="V786">
        <v>1.19</v>
      </c>
      <c r="W786">
        <v>110.44</v>
      </c>
      <c r="X786" t="s">
        <v>66</v>
      </c>
      <c r="Y786" t="s">
        <v>33</v>
      </c>
    </row>
    <row r="787" spans="1:25" x14ac:dyDescent="0.3">
      <c r="A787">
        <v>786</v>
      </c>
      <c r="B787" t="s">
        <v>350</v>
      </c>
      <c r="C787" t="s">
        <v>532</v>
      </c>
      <c r="D787" t="s">
        <v>62</v>
      </c>
      <c r="E787" t="s">
        <v>28</v>
      </c>
      <c r="F787">
        <v>3</v>
      </c>
      <c r="G787">
        <v>250</v>
      </c>
      <c r="H787">
        <v>750</v>
      </c>
      <c r="I787">
        <v>110</v>
      </c>
      <c r="J787">
        <v>330</v>
      </c>
      <c r="K787">
        <v>420</v>
      </c>
      <c r="L787" t="s">
        <v>44</v>
      </c>
      <c r="M787" t="s">
        <v>56</v>
      </c>
      <c r="N787" t="s">
        <v>39</v>
      </c>
      <c r="O787">
        <v>13.7</v>
      </c>
      <c r="P787">
        <v>21.39</v>
      </c>
      <c r="Q787">
        <v>7.07</v>
      </c>
      <c r="R787">
        <v>1.84</v>
      </c>
      <c r="S787">
        <v>0.39</v>
      </c>
      <c r="T787">
        <v>4.28</v>
      </c>
      <c r="U787">
        <v>5.84</v>
      </c>
      <c r="V787">
        <v>0.55000000000000004</v>
      </c>
      <c r="W787">
        <v>364.94</v>
      </c>
      <c r="X787" t="s">
        <v>32</v>
      </c>
      <c r="Y787" t="s">
        <v>33</v>
      </c>
    </row>
    <row r="788" spans="1:25" x14ac:dyDescent="0.3">
      <c r="A788">
        <v>787</v>
      </c>
      <c r="B788" t="s">
        <v>425</v>
      </c>
      <c r="C788" t="s">
        <v>316</v>
      </c>
      <c r="D788" t="s">
        <v>43</v>
      </c>
      <c r="E788" t="s">
        <v>43</v>
      </c>
      <c r="F788">
        <v>3</v>
      </c>
      <c r="G788">
        <v>80</v>
      </c>
      <c r="H788">
        <v>240</v>
      </c>
      <c r="I788">
        <v>30</v>
      </c>
      <c r="J788">
        <v>90</v>
      </c>
      <c r="K788">
        <v>150</v>
      </c>
      <c r="L788" t="s">
        <v>55</v>
      </c>
      <c r="M788" t="s">
        <v>56</v>
      </c>
      <c r="N788" t="s">
        <v>39</v>
      </c>
      <c r="O788">
        <v>17.489999999999998</v>
      </c>
      <c r="P788">
        <v>34.369999999999997</v>
      </c>
      <c r="Q788">
        <v>11.53</v>
      </c>
      <c r="R788">
        <v>13.46</v>
      </c>
      <c r="S788">
        <v>0.23</v>
      </c>
      <c r="T788">
        <v>4.25</v>
      </c>
      <c r="U788">
        <v>6.21</v>
      </c>
      <c r="V788">
        <v>2.12</v>
      </c>
      <c r="W788">
        <v>60.34</v>
      </c>
      <c r="X788" t="s">
        <v>57</v>
      </c>
      <c r="Y788" t="s">
        <v>40</v>
      </c>
    </row>
    <row r="789" spans="1:25" x14ac:dyDescent="0.3">
      <c r="A789">
        <v>788</v>
      </c>
      <c r="B789" t="s">
        <v>303</v>
      </c>
      <c r="C789" t="s">
        <v>48</v>
      </c>
      <c r="D789" t="s">
        <v>36</v>
      </c>
      <c r="E789" t="s">
        <v>28</v>
      </c>
      <c r="F789">
        <v>3</v>
      </c>
      <c r="G789">
        <v>220</v>
      </c>
      <c r="H789">
        <v>660</v>
      </c>
      <c r="I789">
        <v>100</v>
      </c>
      <c r="J789">
        <v>300</v>
      </c>
      <c r="K789">
        <v>360</v>
      </c>
      <c r="L789" t="s">
        <v>37</v>
      </c>
      <c r="M789" t="s">
        <v>56</v>
      </c>
      <c r="N789" t="s">
        <v>51</v>
      </c>
      <c r="O789">
        <v>30.28</v>
      </c>
      <c r="P789">
        <v>35.31</v>
      </c>
      <c r="Q789">
        <v>5.17</v>
      </c>
      <c r="R789">
        <v>11.55</v>
      </c>
      <c r="S789">
        <v>4.05</v>
      </c>
      <c r="T789">
        <v>9.86</v>
      </c>
      <c r="U789">
        <v>3.87</v>
      </c>
      <c r="V789">
        <v>0.23</v>
      </c>
      <c r="W789">
        <v>259.68</v>
      </c>
      <c r="X789" t="s">
        <v>66</v>
      </c>
      <c r="Y789" t="s">
        <v>33</v>
      </c>
    </row>
    <row r="790" spans="1:25" x14ac:dyDescent="0.3">
      <c r="A790">
        <v>789</v>
      </c>
      <c r="B790" t="s">
        <v>346</v>
      </c>
      <c r="C790" t="s">
        <v>265</v>
      </c>
      <c r="D790" t="s">
        <v>27</v>
      </c>
      <c r="E790" t="s">
        <v>28</v>
      </c>
      <c r="F790">
        <v>2</v>
      </c>
      <c r="G790">
        <v>200</v>
      </c>
      <c r="H790">
        <v>400</v>
      </c>
      <c r="I790">
        <v>90</v>
      </c>
      <c r="J790">
        <v>180</v>
      </c>
      <c r="K790">
        <v>220</v>
      </c>
      <c r="L790" t="s">
        <v>29</v>
      </c>
      <c r="M790" t="s">
        <v>30</v>
      </c>
      <c r="N790" t="s">
        <v>90</v>
      </c>
      <c r="O790">
        <v>33.15</v>
      </c>
      <c r="P790">
        <v>18.29</v>
      </c>
      <c r="Q790">
        <v>12.04</v>
      </c>
      <c r="R790">
        <v>23.25</v>
      </c>
      <c r="S790">
        <v>4.92</v>
      </c>
      <c r="T790">
        <v>13.84</v>
      </c>
      <c r="U790">
        <v>3.85</v>
      </c>
      <c r="V790">
        <v>1.22</v>
      </c>
      <c r="W790">
        <v>109.44</v>
      </c>
      <c r="X790" t="s">
        <v>66</v>
      </c>
      <c r="Y790" t="s">
        <v>33</v>
      </c>
    </row>
    <row r="791" spans="1:25" x14ac:dyDescent="0.3">
      <c r="A791">
        <v>790</v>
      </c>
      <c r="B791" t="s">
        <v>388</v>
      </c>
      <c r="C791" t="s">
        <v>226</v>
      </c>
      <c r="D791" t="s">
        <v>36</v>
      </c>
      <c r="E791" t="s">
        <v>28</v>
      </c>
      <c r="F791">
        <v>1</v>
      </c>
      <c r="G791">
        <v>220</v>
      </c>
      <c r="H791">
        <v>220</v>
      </c>
      <c r="I791">
        <v>100</v>
      </c>
      <c r="J791">
        <v>100</v>
      </c>
      <c r="K791">
        <v>120</v>
      </c>
      <c r="L791" t="s">
        <v>44</v>
      </c>
      <c r="M791" t="s">
        <v>45</v>
      </c>
      <c r="N791" t="s">
        <v>31</v>
      </c>
      <c r="O791">
        <v>27.57</v>
      </c>
      <c r="P791">
        <v>51.81</v>
      </c>
      <c r="Q791">
        <v>12.35</v>
      </c>
      <c r="R791">
        <v>7.78</v>
      </c>
      <c r="S791">
        <v>2.99</v>
      </c>
      <c r="T791">
        <v>14.82</v>
      </c>
      <c r="U791">
        <v>3.16</v>
      </c>
      <c r="V791">
        <v>0.04</v>
      </c>
      <c r="W791">
        <v>-0.52</v>
      </c>
      <c r="X791" t="s">
        <v>57</v>
      </c>
      <c r="Y791" t="s">
        <v>40</v>
      </c>
    </row>
    <row r="792" spans="1:25" x14ac:dyDescent="0.3">
      <c r="A792">
        <v>791</v>
      </c>
      <c r="B792" t="s">
        <v>247</v>
      </c>
      <c r="C792" t="s">
        <v>366</v>
      </c>
      <c r="D792" t="s">
        <v>62</v>
      </c>
      <c r="E792" t="s">
        <v>28</v>
      </c>
      <c r="F792">
        <v>4</v>
      </c>
      <c r="G792">
        <v>250</v>
      </c>
      <c r="H792">
        <v>1000</v>
      </c>
      <c r="I792">
        <v>110</v>
      </c>
      <c r="J792">
        <v>440</v>
      </c>
      <c r="K792">
        <v>560</v>
      </c>
      <c r="L792" t="s">
        <v>44</v>
      </c>
      <c r="M792" t="s">
        <v>45</v>
      </c>
      <c r="N792" t="s">
        <v>46</v>
      </c>
      <c r="O792">
        <v>21.38</v>
      </c>
      <c r="P792">
        <v>33.19</v>
      </c>
      <c r="Q792">
        <v>9.0299999999999994</v>
      </c>
      <c r="R792">
        <v>20.93</v>
      </c>
      <c r="S792">
        <v>2.8</v>
      </c>
      <c r="T792">
        <v>5.16</v>
      </c>
      <c r="U792">
        <v>4.07</v>
      </c>
      <c r="V792">
        <v>1.1599999999999999</v>
      </c>
      <c r="W792">
        <v>462.28</v>
      </c>
      <c r="X792" t="s">
        <v>32</v>
      </c>
      <c r="Y792" t="s">
        <v>33</v>
      </c>
    </row>
    <row r="793" spans="1:25" x14ac:dyDescent="0.3">
      <c r="A793">
        <v>792</v>
      </c>
      <c r="B793" t="s">
        <v>467</v>
      </c>
      <c r="C793" t="s">
        <v>234</v>
      </c>
      <c r="D793" t="s">
        <v>109</v>
      </c>
      <c r="E793" t="s">
        <v>50</v>
      </c>
      <c r="F793">
        <v>1</v>
      </c>
      <c r="G793">
        <v>150</v>
      </c>
      <c r="H793">
        <v>150</v>
      </c>
      <c r="I793">
        <v>70</v>
      </c>
      <c r="J793">
        <v>70</v>
      </c>
      <c r="K793">
        <v>80</v>
      </c>
      <c r="L793" t="s">
        <v>44</v>
      </c>
      <c r="M793" t="s">
        <v>38</v>
      </c>
      <c r="N793" t="s">
        <v>46</v>
      </c>
      <c r="O793">
        <v>27.57</v>
      </c>
      <c r="P793">
        <v>18.14</v>
      </c>
      <c r="Q793">
        <v>14.67</v>
      </c>
      <c r="R793">
        <v>17.88</v>
      </c>
      <c r="S793">
        <v>4.29</v>
      </c>
      <c r="T793">
        <v>14.29</v>
      </c>
      <c r="U793">
        <v>3.75</v>
      </c>
      <c r="V793">
        <v>0.11</v>
      </c>
      <c r="W793">
        <v>-20.7</v>
      </c>
      <c r="X793" t="s">
        <v>57</v>
      </c>
      <c r="Y793" t="s">
        <v>40</v>
      </c>
    </row>
    <row r="794" spans="1:25" x14ac:dyDescent="0.3">
      <c r="A794">
        <v>793</v>
      </c>
      <c r="B794" t="s">
        <v>34</v>
      </c>
      <c r="C794" t="s">
        <v>547</v>
      </c>
      <c r="D794" t="s">
        <v>89</v>
      </c>
      <c r="E794" t="s">
        <v>28</v>
      </c>
      <c r="F794">
        <v>4</v>
      </c>
      <c r="G794">
        <v>180</v>
      </c>
      <c r="H794">
        <v>720</v>
      </c>
      <c r="I794">
        <v>75</v>
      </c>
      <c r="J794">
        <v>300</v>
      </c>
      <c r="K794">
        <v>420</v>
      </c>
      <c r="L794" t="s">
        <v>86</v>
      </c>
      <c r="M794" t="s">
        <v>45</v>
      </c>
      <c r="N794" t="s">
        <v>39</v>
      </c>
      <c r="O794">
        <v>29.84</v>
      </c>
      <c r="P794">
        <v>35.340000000000003</v>
      </c>
      <c r="Q794">
        <v>13.06</v>
      </c>
      <c r="R794">
        <v>31.3</v>
      </c>
      <c r="S794">
        <v>3.07</v>
      </c>
      <c r="T794">
        <v>2.42</v>
      </c>
      <c r="U794">
        <v>3.41</v>
      </c>
      <c r="V794">
        <v>1.37</v>
      </c>
      <c r="W794">
        <v>300.19</v>
      </c>
      <c r="X794" t="s">
        <v>32</v>
      </c>
      <c r="Y794" t="s">
        <v>40</v>
      </c>
    </row>
    <row r="795" spans="1:25" x14ac:dyDescent="0.3">
      <c r="A795">
        <v>794</v>
      </c>
      <c r="B795" t="s">
        <v>295</v>
      </c>
      <c r="C795" t="s">
        <v>429</v>
      </c>
      <c r="D795" t="s">
        <v>49</v>
      </c>
      <c r="E795" t="s">
        <v>50</v>
      </c>
      <c r="F795">
        <v>1</v>
      </c>
      <c r="G795">
        <v>180</v>
      </c>
      <c r="H795">
        <v>180</v>
      </c>
      <c r="I795">
        <v>90</v>
      </c>
      <c r="J795">
        <v>90</v>
      </c>
      <c r="K795">
        <v>90</v>
      </c>
      <c r="L795" t="s">
        <v>37</v>
      </c>
      <c r="M795" t="s">
        <v>63</v>
      </c>
      <c r="N795" t="s">
        <v>81</v>
      </c>
      <c r="O795">
        <v>36.340000000000003</v>
      </c>
      <c r="P795">
        <v>51.56</v>
      </c>
      <c r="Q795">
        <v>5.69</v>
      </c>
      <c r="R795">
        <v>10.36</v>
      </c>
      <c r="S795">
        <v>0.9</v>
      </c>
      <c r="T795">
        <v>9.33</v>
      </c>
      <c r="U795">
        <v>3.55</v>
      </c>
      <c r="V795">
        <v>0.23</v>
      </c>
      <c r="W795">
        <v>-27.96</v>
      </c>
      <c r="X795" t="s">
        <v>32</v>
      </c>
      <c r="Y795" t="s">
        <v>33</v>
      </c>
    </row>
    <row r="796" spans="1:25" x14ac:dyDescent="0.3">
      <c r="A796">
        <v>795</v>
      </c>
      <c r="B796" t="s">
        <v>472</v>
      </c>
      <c r="C796" t="s">
        <v>208</v>
      </c>
      <c r="D796" t="s">
        <v>54</v>
      </c>
      <c r="E796" t="s">
        <v>28</v>
      </c>
      <c r="F796">
        <v>4</v>
      </c>
      <c r="G796">
        <v>120</v>
      </c>
      <c r="H796">
        <v>480</v>
      </c>
      <c r="I796">
        <v>50</v>
      </c>
      <c r="J796">
        <v>200</v>
      </c>
      <c r="K796">
        <v>280</v>
      </c>
      <c r="L796" t="s">
        <v>37</v>
      </c>
      <c r="M796" t="s">
        <v>30</v>
      </c>
      <c r="N796" t="s">
        <v>90</v>
      </c>
      <c r="O796">
        <v>35.4</v>
      </c>
      <c r="P796">
        <v>54.42</v>
      </c>
      <c r="Q796">
        <v>7.1</v>
      </c>
      <c r="R796">
        <v>24.59</v>
      </c>
      <c r="S796">
        <v>0.83</v>
      </c>
      <c r="T796">
        <v>11.66</v>
      </c>
      <c r="U796">
        <v>1.1399999999999999</v>
      </c>
      <c r="V796">
        <v>1.78</v>
      </c>
      <c r="W796">
        <v>143.08000000000001</v>
      </c>
      <c r="X796" t="s">
        <v>57</v>
      </c>
      <c r="Y796" t="s">
        <v>40</v>
      </c>
    </row>
    <row r="797" spans="1:25" x14ac:dyDescent="0.3">
      <c r="A797">
        <v>796</v>
      </c>
      <c r="B797" t="s">
        <v>394</v>
      </c>
      <c r="C797" t="s">
        <v>390</v>
      </c>
      <c r="D797" t="s">
        <v>27</v>
      </c>
      <c r="E797" t="s">
        <v>28</v>
      </c>
      <c r="F797">
        <v>2</v>
      </c>
      <c r="G797">
        <v>200</v>
      </c>
      <c r="H797">
        <v>400</v>
      </c>
      <c r="I797">
        <v>90</v>
      </c>
      <c r="J797">
        <v>180</v>
      </c>
      <c r="K797">
        <v>220</v>
      </c>
      <c r="L797" t="s">
        <v>37</v>
      </c>
      <c r="M797" t="s">
        <v>45</v>
      </c>
      <c r="N797" t="s">
        <v>46</v>
      </c>
      <c r="O797">
        <v>35.5</v>
      </c>
      <c r="P797">
        <v>58.4</v>
      </c>
      <c r="Q797">
        <v>13.8</v>
      </c>
      <c r="R797">
        <v>2.88</v>
      </c>
      <c r="S797">
        <v>1.05</v>
      </c>
      <c r="T797">
        <v>7.43</v>
      </c>
      <c r="U797">
        <v>4.92</v>
      </c>
      <c r="V797">
        <v>1.3</v>
      </c>
      <c r="W797">
        <v>94.72</v>
      </c>
      <c r="X797" t="s">
        <v>66</v>
      </c>
      <c r="Y797" t="s">
        <v>33</v>
      </c>
    </row>
    <row r="798" spans="1:25" x14ac:dyDescent="0.3">
      <c r="A798">
        <v>797</v>
      </c>
      <c r="B798" t="s">
        <v>71</v>
      </c>
      <c r="C798" t="s">
        <v>430</v>
      </c>
      <c r="D798" t="s">
        <v>62</v>
      </c>
      <c r="E798" t="s">
        <v>28</v>
      </c>
      <c r="F798">
        <v>4</v>
      </c>
      <c r="G798">
        <v>250</v>
      </c>
      <c r="H798">
        <v>1000</v>
      </c>
      <c r="I798">
        <v>110</v>
      </c>
      <c r="J798">
        <v>440</v>
      </c>
      <c r="K798">
        <v>560</v>
      </c>
      <c r="L798" t="s">
        <v>37</v>
      </c>
      <c r="M798" t="s">
        <v>63</v>
      </c>
      <c r="N798" t="s">
        <v>39</v>
      </c>
      <c r="O798">
        <v>28</v>
      </c>
      <c r="P798">
        <v>33.119999999999997</v>
      </c>
      <c r="Q798">
        <v>18.489999999999998</v>
      </c>
      <c r="R798">
        <v>14.71</v>
      </c>
      <c r="S798">
        <v>1.26</v>
      </c>
      <c r="T798">
        <v>5.69</v>
      </c>
      <c r="U798">
        <v>5.28</v>
      </c>
      <c r="V798">
        <v>0.81</v>
      </c>
      <c r="W798">
        <v>452.64</v>
      </c>
      <c r="X798" t="s">
        <v>57</v>
      </c>
      <c r="Y798" t="s">
        <v>33</v>
      </c>
    </row>
    <row r="799" spans="1:25" x14ac:dyDescent="0.3">
      <c r="A799">
        <v>798</v>
      </c>
      <c r="B799" t="s">
        <v>227</v>
      </c>
      <c r="C799" t="s">
        <v>471</v>
      </c>
      <c r="D799" t="s">
        <v>109</v>
      </c>
      <c r="E799" t="s">
        <v>50</v>
      </c>
      <c r="F799">
        <v>1</v>
      </c>
      <c r="G799">
        <v>150</v>
      </c>
      <c r="H799">
        <v>150</v>
      </c>
      <c r="I799">
        <v>70</v>
      </c>
      <c r="J799">
        <v>70</v>
      </c>
      <c r="K799">
        <v>80</v>
      </c>
      <c r="L799" t="s">
        <v>29</v>
      </c>
      <c r="M799" t="s">
        <v>63</v>
      </c>
      <c r="N799" t="s">
        <v>51</v>
      </c>
      <c r="O799">
        <v>28.64</v>
      </c>
      <c r="P799">
        <v>18.059999999999999</v>
      </c>
      <c r="Q799">
        <v>13.32</v>
      </c>
      <c r="R799">
        <v>20.3</v>
      </c>
      <c r="S799">
        <v>4.76</v>
      </c>
      <c r="T799">
        <v>14.89</v>
      </c>
      <c r="U799">
        <v>2.75</v>
      </c>
      <c r="V799">
        <v>0.98</v>
      </c>
      <c r="W799">
        <v>-23.7</v>
      </c>
      <c r="X799" t="s">
        <v>66</v>
      </c>
      <c r="Y799" t="s">
        <v>33</v>
      </c>
    </row>
    <row r="800" spans="1:25" x14ac:dyDescent="0.3">
      <c r="A800">
        <v>799</v>
      </c>
      <c r="B800" t="s">
        <v>502</v>
      </c>
      <c r="C800" t="s">
        <v>242</v>
      </c>
      <c r="D800" t="s">
        <v>109</v>
      </c>
      <c r="E800" t="s">
        <v>50</v>
      </c>
      <c r="F800">
        <v>2</v>
      </c>
      <c r="G800">
        <v>150</v>
      </c>
      <c r="H800">
        <v>300</v>
      </c>
      <c r="I800">
        <v>70</v>
      </c>
      <c r="J800">
        <v>140</v>
      </c>
      <c r="K800">
        <v>160</v>
      </c>
      <c r="L800" t="s">
        <v>29</v>
      </c>
      <c r="M800" t="s">
        <v>56</v>
      </c>
      <c r="N800" t="s">
        <v>39</v>
      </c>
      <c r="O800">
        <v>18.829999999999998</v>
      </c>
      <c r="P800">
        <v>45.62</v>
      </c>
      <c r="Q800">
        <v>9.18</v>
      </c>
      <c r="R800">
        <v>22.3</v>
      </c>
      <c r="S800">
        <v>1.0900000000000001</v>
      </c>
      <c r="T800">
        <v>13.89</v>
      </c>
      <c r="U800">
        <v>3.29</v>
      </c>
      <c r="V800">
        <v>1.45</v>
      </c>
      <c r="W800">
        <v>44.35</v>
      </c>
      <c r="X800" t="s">
        <v>57</v>
      </c>
      <c r="Y800" t="s">
        <v>33</v>
      </c>
    </row>
    <row r="801" spans="1:25" x14ac:dyDescent="0.3">
      <c r="A801">
        <v>800</v>
      </c>
      <c r="B801" t="s">
        <v>238</v>
      </c>
      <c r="C801" t="s">
        <v>436</v>
      </c>
      <c r="D801" t="s">
        <v>49</v>
      </c>
      <c r="E801" t="s">
        <v>50</v>
      </c>
      <c r="F801">
        <v>1</v>
      </c>
      <c r="G801">
        <v>180</v>
      </c>
      <c r="H801">
        <v>180</v>
      </c>
      <c r="I801">
        <v>90</v>
      </c>
      <c r="J801">
        <v>90</v>
      </c>
      <c r="K801">
        <v>90</v>
      </c>
      <c r="L801" t="s">
        <v>86</v>
      </c>
      <c r="M801" t="s">
        <v>45</v>
      </c>
      <c r="N801" t="s">
        <v>90</v>
      </c>
      <c r="O801">
        <v>11.54</v>
      </c>
      <c r="P801">
        <v>41.65</v>
      </c>
      <c r="Q801">
        <v>14.13</v>
      </c>
      <c r="R801">
        <v>10.9</v>
      </c>
      <c r="S801">
        <v>3.27</v>
      </c>
      <c r="T801">
        <v>7.91</v>
      </c>
      <c r="U801">
        <v>1.61</v>
      </c>
      <c r="V801">
        <v>0.85</v>
      </c>
      <c r="W801">
        <v>-1.86</v>
      </c>
      <c r="X801" t="s">
        <v>32</v>
      </c>
      <c r="Y801" t="s">
        <v>33</v>
      </c>
    </row>
    <row r="802" spans="1:25" x14ac:dyDescent="0.3">
      <c r="A802">
        <v>801</v>
      </c>
      <c r="B802" t="s">
        <v>79</v>
      </c>
      <c r="C802" t="s">
        <v>297</v>
      </c>
      <c r="D802" t="s">
        <v>49</v>
      </c>
      <c r="E802" t="s">
        <v>50</v>
      </c>
      <c r="F802">
        <v>1</v>
      </c>
      <c r="G802">
        <v>180</v>
      </c>
      <c r="H802">
        <v>180</v>
      </c>
      <c r="I802">
        <v>90</v>
      </c>
      <c r="J802">
        <v>90</v>
      </c>
      <c r="K802">
        <v>90</v>
      </c>
      <c r="L802" t="s">
        <v>55</v>
      </c>
      <c r="M802" t="s">
        <v>45</v>
      </c>
      <c r="N802" t="s">
        <v>31</v>
      </c>
      <c r="O802">
        <v>25.33</v>
      </c>
      <c r="P802">
        <v>42.98</v>
      </c>
      <c r="Q802">
        <v>18.059999999999999</v>
      </c>
      <c r="R802">
        <v>8.75</v>
      </c>
      <c r="S802">
        <v>3.48</v>
      </c>
      <c r="T802">
        <v>4.82</v>
      </c>
      <c r="U802">
        <v>3.73</v>
      </c>
      <c r="V802">
        <v>0.21</v>
      </c>
      <c r="W802">
        <v>-17.36</v>
      </c>
      <c r="X802" t="s">
        <v>32</v>
      </c>
      <c r="Y802" t="s">
        <v>33</v>
      </c>
    </row>
    <row r="803" spans="1:25" x14ac:dyDescent="0.3">
      <c r="A803">
        <v>802</v>
      </c>
      <c r="B803" t="s">
        <v>245</v>
      </c>
      <c r="C803" t="s">
        <v>486</v>
      </c>
      <c r="D803" t="s">
        <v>43</v>
      </c>
      <c r="E803" t="s">
        <v>43</v>
      </c>
      <c r="F803">
        <v>2</v>
      </c>
      <c r="G803">
        <v>80</v>
      </c>
      <c r="H803">
        <v>160</v>
      </c>
      <c r="I803">
        <v>30</v>
      </c>
      <c r="J803">
        <v>60</v>
      </c>
      <c r="K803">
        <v>100</v>
      </c>
      <c r="L803" t="s">
        <v>37</v>
      </c>
      <c r="M803" t="s">
        <v>63</v>
      </c>
      <c r="N803" t="s">
        <v>81</v>
      </c>
      <c r="O803">
        <v>31.48</v>
      </c>
      <c r="P803">
        <v>45.31</v>
      </c>
      <c r="Q803">
        <v>13.03</v>
      </c>
      <c r="R803">
        <v>6.63</v>
      </c>
      <c r="S803">
        <v>1.54</v>
      </c>
      <c r="T803">
        <v>10.199999999999999</v>
      </c>
      <c r="U803">
        <v>5.4</v>
      </c>
      <c r="V803">
        <v>2.94</v>
      </c>
      <c r="W803">
        <v>-16.53</v>
      </c>
      <c r="X803" t="s">
        <v>66</v>
      </c>
      <c r="Y803" t="s">
        <v>33</v>
      </c>
    </row>
    <row r="804" spans="1:25" x14ac:dyDescent="0.3">
      <c r="A804">
        <v>803</v>
      </c>
      <c r="B804" t="s">
        <v>105</v>
      </c>
      <c r="C804" t="s">
        <v>100</v>
      </c>
      <c r="D804" t="s">
        <v>62</v>
      </c>
      <c r="E804" t="s">
        <v>28</v>
      </c>
      <c r="F804">
        <v>2</v>
      </c>
      <c r="G804">
        <v>250</v>
      </c>
      <c r="H804">
        <v>500</v>
      </c>
      <c r="I804">
        <v>110</v>
      </c>
      <c r="J804">
        <v>220</v>
      </c>
      <c r="K804">
        <v>280</v>
      </c>
      <c r="L804" t="s">
        <v>44</v>
      </c>
      <c r="M804" t="s">
        <v>30</v>
      </c>
      <c r="N804" t="s">
        <v>39</v>
      </c>
      <c r="O804">
        <v>29.09</v>
      </c>
      <c r="P804">
        <v>20.76</v>
      </c>
      <c r="Q804">
        <v>16.13</v>
      </c>
      <c r="R804">
        <v>23.41</v>
      </c>
      <c r="S804">
        <v>3.91</v>
      </c>
      <c r="T804">
        <v>6.84</v>
      </c>
      <c r="U804">
        <v>3.03</v>
      </c>
      <c r="V804">
        <v>2.82</v>
      </c>
      <c r="W804">
        <v>174.01</v>
      </c>
      <c r="X804" t="s">
        <v>66</v>
      </c>
      <c r="Y804" t="s">
        <v>40</v>
      </c>
    </row>
    <row r="805" spans="1:25" x14ac:dyDescent="0.3">
      <c r="A805">
        <v>804</v>
      </c>
      <c r="B805" t="s">
        <v>340</v>
      </c>
      <c r="C805" t="s">
        <v>420</v>
      </c>
      <c r="D805" t="s">
        <v>36</v>
      </c>
      <c r="E805" t="s">
        <v>28</v>
      </c>
      <c r="F805">
        <v>4</v>
      </c>
      <c r="G805">
        <v>220</v>
      </c>
      <c r="H805">
        <v>880</v>
      </c>
      <c r="I805">
        <v>100</v>
      </c>
      <c r="J805">
        <v>400</v>
      </c>
      <c r="K805">
        <v>480</v>
      </c>
      <c r="L805" t="s">
        <v>55</v>
      </c>
      <c r="M805" t="s">
        <v>56</v>
      </c>
      <c r="N805" t="s">
        <v>46</v>
      </c>
      <c r="O805">
        <v>37.869999999999997</v>
      </c>
      <c r="P805">
        <v>33.94</v>
      </c>
      <c r="Q805">
        <v>15.59</v>
      </c>
      <c r="R805">
        <v>29.49</v>
      </c>
      <c r="S805">
        <v>0.41</v>
      </c>
      <c r="T805">
        <v>3.63</v>
      </c>
      <c r="U805">
        <v>6.9</v>
      </c>
      <c r="V805">
        <v>2.0499999999999998</v>
      </c>
      <c r="W805">
        <v>350.12</v>
      </c>
      <c r="X805" t="s">
        <v>32</v>
      </c>
      <c r="Y805" t="s">
        <v>40</v>
      </c>
    </row>
    <row r="806" spans="1:25" x14ac:dyDescent="0.3">
      <c r="A806">
        <v>805</v>
      </c>
      <c r="B806" t="s">
        <v>214</v>
      </c>
      <c r="C806" t="s">
        <v>360</v>
      </c>
      <c r="D806" t="s">
        <v>54</v>
      </c>
      <c r="E806" t="s">
        <v>28</v>
      </c>
      <c r="F806">
        <v>2</v>
      </c>
      <c r="G806">
        <v>120</v>
      </c>
      <c r="H806">
        <v>240</v>
      </c>
      <c r="I806">
        <v>50</v>
      </c>
      <c r="J806">
        <v>100</v>
      </c>
      <c r="K806">
        <v>140</v>
      </c>
      <c r="L806" t="s">
        <v>37</v>
      </c>
      <c r="M806" t="s">
        <v>45</v>
      </c>
      <c r="N806" t="s">
        <v>31</v>
      </c>
      <c r="O806">
        <v>12.31</v>
      </c>
      <c r="P806">
        <v>58.24</v>
      </c>
      <c r="Q806">
        <v>10.06</v>
      </c>
      <c r="R806">
        <v>12.6</v>
      </c>
      <c r="S806">
        <v>4.24</v>
      </c>
      <c r="T806">
        <v>4.6399999999999997</v>
      </c>
      <c r="U806">
        <v>5.56</v>
      </c>
      <c r="V806">
        <v>2.44</v>
      </c>
      <c r="W806">
        <v>29.91</v>
      </c>
      <c r="X806" t="s">
        <v>32</v>
      </c>
      <c r="Y806" t="s">
        <v>33</v>
      </c>
    </row>
    <row r="807" spans="1:25" x14ac:dyDescent="0.3">
      <c r="A807">
        <v>806</v>
      </c>
      <c r="B807" t="s">
        <v>229</v>
      </c>
      <c r="C807" t="s">
        <v>343</v>
      </c>
      <c r="D807" t="s">
        <v>54</v>
      </c>
      <c r="E807" t="s">
        <v>28</v>
      </c>
      <c r="F807">
        <v>3</v>
      </c>
      <c r="G807">
        <v>120</v>
      </c>
      <c r="H807">
        <v>360</v>
      </c>
      <c r="I807">
        <v>50</v>
      </c>
      <c r="J807">
        <v>150</v>
      </c>
      <c r="K807">
        <v>210</v>
      </c>
      <c r="L807" t="s">
        <v>55</v>
      </c>
      <c r="M807" t="s">
        <v>30</v>
      </c>
      <c r="N807" t="s">
        <v>46</v>
      </c>
      <c r="O807">
        <v>37.119999999999997</v>
      </c>
      <c r="P807">
        <v>26.83</v>
      </c>
      <c r="Q807">
        <v>17.88</v>
      </c>
      <c r="R807">
        <v>23.88</v>
      </c>
      <c r="S807">
        <v>1.08</v>
      </c>
      <c r="T807">
        <v>7.79</v>
      </c>
      <c r="U807">
        <v>3.71</v>
      </c>
      <c r="V807">
        <v>0.88</v>
      </c>
      <c r="W807">
        <v>90.83</v>
      </c>
      <c r="X807" t="s">
        <v>57</v>
      </c>
      <c r="Y807" t="s">
        <v>40</v>
      </c>
    </row>
    <row r="808" spans="1:25" x14ac:dyDescent="0.3">
      <c r="A808">
        <v>807</v>
      </c>
      <c r="B808" t="s">
        <v>207</v>
      </c>
      <c r="C808" t="s">
        <v>537</v>
      </c>
      <c r="D808" t="s">
        <v>27</v>
      </c>
      <c r="E808" t="s">
        <v>28</v>
      </c>
      <c r="F808">
        <v>1</v>
      </c>
      <c r="G808">
        <v>200</v>
      </c>
      <c r="H808">
        <v>200</v>
      </c>
      <c r="I808">
        <v>90</v>
      </c>
      <c r="J808">
        <v>90</v>
      </c>
      <c r="K808">
        <v>110</v>
      </c>
      <c r="L808" t="s">
        <v>37</v>
      </c>
      <c r="M808" t="s">
        <v>45</v>
      </c>
      <c r="N808" t="s">
        <v>31</v>
      </c>
      <c r="O808">
        <v>18.059999999999999</v>
      </c>
      <c r="P808">
        <v>22.27</v>
      </c>
      <c r="Q808">
        <v>14.48</v>
      </c>
      <c r="R808">
        <v>13.62</v>
      </c>
      <c r="S808">
        <v>4.8899999999999997</v>
      </c>
      <c r="T808">
        <v>14.29</v>
      </c>
      <c r="U808">
        <v>7.98</v>
      </c>
      <c r="V808">
        <v>2.02</v>
      </c>
      <c r="W808">
        <v>12.39</v>
      </c>
      <c r="X808" t="s">
        <v>57</v>
      </c>
      <c r="Y808" t="s">
        <v>40</v>
      </c>
    </row>
    <row r="809" spans="1:25" x14ac:dyDescent="0.3">
      <c r="A809">
        <v>808</v>
      </c>
      <c r="B809" t="s">
        <v>249</v>
      </c>
      <c r="C809" t="s">
        <v>331</v>
      </c>
      <c r="D809" t="s">
        <v>109</v>
      </c>
      <c r="E809" t="s">
        <v>50</v>
      </c>
      <c r="F809">
        <v>4</v>
      </c>
      <c r="G809">
        <v>150</v>
      </c>
      <c r="H809">
        <v>600</v>
      </c>
      <c r="I809">
        <v>70</v>
      </c>
      <c r="J809">
        <v>280</v>
      </c>
      <c r="K809">
        <v>320</v>
      </c>
      <c r="L809" t="s">
        <v>55</v>
      </c>
      <c r="M809" t="s">
        <v>63</v>
      </c>
      <c r="N809" t="s">
        <v>81</v>
      </c>
      <c r="O809">
        <v>26.41</v>
      </c>
      <c r="P809">
        <v>39.049999999999997</v>
      </c>
      <c r="Q809">
        <v>10.8</v>
      </c>
      <c r="R809">
        <v>6.09</v>
      </c>
      <c r="S809">
        <v>4.03</v>
      </c>
      <c r="T809">
        <v>6.77</v>
      </c>
      <c r="U809">
        <v>6.29</v>
      </c>
      <c r="V809">
        <v>2.4</v>
      </c>
      <c r="W809">
        <v>218.16</v>
      </c>
      <c r="X809" t="s">
        <v>66</v>
      </c>
      <c r="Y809" t="s">
        <v>40</v>
      </c>
    </row>
    <row r="810" spans="1:25" x14ac:dyDescent="0.3">
      <c r="A810">
        <v>809</v>
      </c>
      <c r="B810" t="s">
        <v>478</v>
      </c>
      <c r="C810" t="s">
        <v>108</v>
      </c>
      <c r="D810" t="s">
        <v>27</v>
      </c>
      <c r="E810" t="s">
        <v>28</v>
      </c>
      <c r="F810">
        <v>1</v>
      </c>
      <c r="G810">
        <v>200</v>
      </c>
      <c r="H810">
        <v>200</v>
      </c>
      <c r="I810">
        <v>90</v>
      </c>
      <c r="J810">
        <v>90</v>
      </c>
      <c r="K810">
        <v>110</v>
      </c>
      <c r="L810" t="s">
        <v>55</v>
      </c>
      <c r="M810" t="s">
        <v>56</v>
      </c>
      <c r="N810" t="s">
        <v>81</v>
      </c>
      <c r="O810">
        <v>29.88</v>
      </c>
      <c r="P810">
        <v>40.19</v>
      </c>
      <c r="Q810">
        <v>6.56</v>
      </c>
      <c r="R810">
        <v>8.84</v>
      </c>
      <c r="S810">
        <v>2.31</v>
      </c>
      <c r="T810">
        <v>5.14</v>
      </c>
      <c r="U810">
        <v>2.54</v>
      </c>
      <c r="V810">
        <v>2.2000000000000002</v>
      </c>
      <c r="W810">
        <v>12.34</v>
      </c>
      <c r="X810" t="s">
        <v>57</v>
      </c>
      <c r="Y810" t="s">
        <v>33</v>
      </c>
    </row>
    <row r="811" spans="1:25" x14ac:dyDescent="0.3">
      <c r="A811">
        <v>810</v>
      </c>
      <c r="B811" t="s">
        <v>193</v>
      </c>
      <c r="C811" t="s">
        <v>485</v>
      </c>
      <c r="D811" t="s">
        <v>36</v>
      </c>
      <c r="E811" t="s">
        <v>28</v>
      </c>
      <c r="F811">
        <v>2</v>
      </c>
      <c r="G811">
        <v>220</v>
      </c>
      <c r="H811">
        <v>440</v>
      </c>
      <c r="I811">
        <v>100</v>
      </c>
      <c r="J811">
        <v>200</v>
      </c>
      <c r="K811">
        <v>240</v>
      </c>
      <c r="L811" t="s">
        <v>29</v>
      </c>
      <c r="M811" t="s">
        <v>63</v>
      </c>
      <c r="N811" t="s">
        <v>46</v>
      </c>
      <c r="O811">
        <v>19.73</v>
      </c>
      <c r="P811">
        <v>41.37</v>
      </c>
      <c r="Q811">
        <v>15.65</v>
      </c>
      <c r="R811">
        <v>23.84</v>
      </c>
      <c r="S811">
        <v>0.01</v>
      </c>
      <c r="T811">
        <v>11.44</v>
      </c>
      <c r="U811">
        <v>3.4</v>
      </c>
      <c r="V811">
        <v>1.98</v>
      </c>
      <c r="W811">
        <v>122.58</v>
      </c>
      <c r="X811" t="s">
        <v>66</v>
      </c>
      <c r="Y811" t="s">
        <v>33</v>
      </c>
    </row>
    <row r="812" spans="1:25" x14ac:dyDescent="0.3">
      <c r="A812">
        <v>811</v>
      </c>
      <c r="B812" t="s">
        <v>119</v>
      </c>
      <c r="C812" t="s">
        <v>242</v>
      </c>
      <c r="D812" t="s">
        <v>89</v>
      </c>
      <c r="E812" t="s">
        <v>28</v>
      </c>
      <c r="F812">
        <v>1</v>
      </c>
      <c r="G812">
        <v>180</v>
      </c>
      <c r="H812">
        <v>180</v>
      </c>
      <c r="I812">
        <v>75</v>
      </c>
      <c r="J812">
        <v>75</v>
      </c>
      <c r="K812">
        <v>105</v>
      </c>
      <c r="L812" t="s">
        <v>55</v>
      </c>
      <c r="M812" t="s">
        <v>30</v>
      </c>
      <c r="N812" t="s">
        <v>90</v>
      </c>
      <c r="O812">
        <v>39.03</v>
      </c>
      <c r="P812">
        <v>25.25</v>
      </c>
      <c r="Q812">
        <v>6.72</v>
      </c>
      <c r="R812">
        <v>20.86</v>
      </c>
      <c r="S812">
        <v>2.7</v>
      </c>
      <c r="T812">
        <v>13.45</v>
      </c>
      <c r="U812">
        <v>1.8</v>
      </c>
      <c r="V812">
        <v>2.61</v>
      </c>
      <c r="W812">
        <v>-7.42</v>
      </c>
      <c r="X812" t="s">
        <v>57</v>
      </c>
      <c r="Y812" t="s">
        <v>33</v>
      </c>
    </row>
    <row r="813" spans="1:25" x14ac:dyDescent="0.3">
      <c r="A813">
        <v>812</v>
      </c>
      <c r="B813" t="s">
        <v>253</v>
      </c>
      <c r="C813" t="s">
        <v>548</v>
      </c>
      <c r="D813" t="s">
        <v>36</v>
      </c>
      <c r="E813" t="s">
        <v>28</v>
      </c>
      <c r="F813">
        <v>4</v>
      </c>
      <c r="G813">
        <v>220</v>
      </c>
      <c r="H813">
        <v>880</v>
      </c>
      <c r="I813">
        <v>100</v>
      </c>
      <c r="J813">
        <v>400</v>
      </c>
      <c r="K813">
        <v>480</v>
      </c>
      <c r="L813" t="s">
        <v>29</v>
      </c>
      <c r="M813" t="s">
        <v>63</v>
      </c>
      <c r="N813" t="s">
        <v>90</v>
      </c>
      <c r="O813">
        <v>12.97</v>
      </c>
      <c r="P813">
        <v>26.98</v>
      </c>
      <c r="Q813">
        <v>15.79</v>
      </c>
      <c r="R813">
        <v>5.75</v>
      </c>
      <c r="S813">
        <v>1.67</v>
      </c>
      <c r="T813">
        <v>6.34</v>
      </c>
      <c r="U813">
        <v>3.85</v>
      </c>
      <c r="V813">
        <v>2.5299999999999998</v>
      </c>
      <c r="W813">
        <v>404.12</v>
      </c>
      <c r="X813" t="s">
        <v>66</v>
      </c>
      <c r="Y813" t="s">
        <v>40</v>
      </c>
    </row>
    <row r="814" spans="1:25" x14ac:dyDescent="0.3">
      <c r="A814">
        <v>813</v>
      </c>
      <c r="B814" t="s">
        <v>507</v>
      </c>
      <c r="C814" t="s">
        <v>532</v>
      </c>
      <c r="D814" t="s">
        <v>89</v>
      </c>
      <c r="E814" t="s">
        <v>28</v>
      </c>
      <c r="F814">
        <v>1</v>
      </c>
      <c r="G814">
        <v>180</v>
      </c>
      <c r="H814">
        <v>180</v>
      </c>
      <c r="I814">
        <v>75</v>
      </c>
      <c r="J814">
        <v>75</v>
      </c>
      <c r="K814">
        <v>105</v>
      </c>
      <c r="L814" t="s">
        <v>29</v>
      </c>
      <c r="M814" t="s">
        <v>45</v>
      </c>
      <c r="N814" t="s">
        <v>39</v>
      </c>
      <c r="O814">
        <v>13.43</v>
      </c>
      <c r="P814">
        <v>42.74</v>
      </c>
      <c r="Q814">
        <v>13.41</v>
      </c>
      <c r="R814">
        <v>8.07</v>
      </c>
      <c r="S814">
        <v>0.64</v>
      </c>
      <c r="T814">
        <v>3.61</v>
      </c>
      <c r="U814">
        <v>1.5</v>
      </c>
      <c r="V814">
        <v>0.3</v>
      </c>
      <c r="W814">
        <v>21.3</v>
      </c>
      <c r="X814" t="s">
        <v>66</v>
      </c>
      <c r="Y814" t="s">
        <v>33</v>
      </c>
    </row>
    <row r="815" spans="1:25" x14ac:dyDescent="0.3">
      <c r="A815">
        <v>814</v>
      </c>
      <c r="B815" t="s">
        <v>87</v>
      </c>
      <c r="C815" t="s">
        <v>178</v>
      </c>
      <c r="D815" t="s">
        <v>27</v>
      </c>
      <c r="E815" t="s">
        <v>28</v>
      </c>
      <c r="F815">
        <v>3</v>
      </c>
      <c r="G815">
        <v>200</v>
      </c>
      <c r="H815">
        <v>600</v>
      </c>
      <c r="I815">
        <v>90</v>
      </c>
      <c r="J815">
        <v>270</v>
      </c>
      <c r="K815">
        <v>330</v>
      </c>
      <c r="L815" t="s">
        <v>44</v>
      </c>
      <c r="M815" t="s">
        <v>38</v>
      </c>
      <c r="N815" t="s">
        <v>31</v>
      </c>
      <c r="O815">
        <v>28.16</v>
      </c>
      <c r="P815">
        <v>38.94</v>
      </c>
      <c r="Q815">
        <v>6.66</v>
      </c>
      <c r="R815">
        <v>22.1</v>
      </c>
      <c r="S815">
        <v>3.8</v>
      </c>
      <c r="T815">
        <v>11.22</v>
      </c>
      <c r="U815">
        <v>2.97</v>
      </c>
      <c r="V815">
        <v>0.92</v>
      </c>
      <c r="W815">
        <v>215.23</v>
      </c>
      <c r="X815" t="s">
        <v>57</v>
      </c>
      <c r="Y815" t="s">
        <v>40</v>
      </c>
    </row>
    <row r="816" spans="1:25" x14ac:dyDescent="0.3">
      <c r="A816">
        <v>815</v>
      </c>
      <c r="B816" t="s">
        <v>188</v>
      </c>
      <c r="C816" t="s">
        <v>474</v>
      </c>
      <c r="D816" t="s">
        <v>89</v>
      </c>
      <c r="E816" t="s">
        <v>28</v>
      </c>
      <c r="F816">
        <v>4</v>
      </c>
      <c r="G816">
        <v>180</v>
      </c>
      <c r="H816">
        <v>720</v>
      </c>
      <c r="I816">
        <v>75</v>
      </c>
      <c r="J816">
        <v>300</v>
      </c>
      <c r="K816">
        <v>420</v>
      </c>
      <c r="L816" t="s">
        <v>29</v>
      </c>
      <c r="M816" t="s">
        <v>38</v>
      </c>
      <c r="N816" t="s">
        <v>90</v>
      </c>
      <c r="O816">
        <v>34.869999999999997</v>
      </c>
      <c r="P816">
        <v>20.079999999999998</v>
      </c>
      <c r="Q816">
        <v>15.59</v>
      </c>
      <c r="R816">
        <v>27.26</v>
      </c>
      <c r="S816">
        <v>3.72</v>
      </c>
      <c r="T816">
        <v>5.67</v>
      </c>
      <c r="U816">
        <v>1.58</v>
      </c>
      <c r="V816">
        <v>1.5</v>
      </c>
      <c r="W816">
        <v>309.73</v>
      </c>
      <c r="X816" t="s">
        <v>57</v>
      </c>
      <c r="Y816" t="s">
        <v>33</v>
      </c>
    </row>
    <row r="817" spans="1:25" x14ac:dyDescent="0.3">
      <c r="A817">
        <v>816</v>
      </c>
      <c r="B817" t="s">
        <v>478</v>
      </c>
      <c r="C817" t="s">
        <v>549</v>
      </c>
      <c r="D817" t="s">
        <v>36</v>
      </c>
      <c r="E817" t="s">
        <v>28</v>
      </c>
      <c r="F817">
        <v>3</v>
      </c>
      <c r="G817">
        <v>220</v>
      </c>
      <c r="H817">
        <v>660</v>
      </c>
      <c r="I817">
        <v>100</v>
      </c>
      <c r="J817">
        <v>300</v>
      </c>
      <c r="K817">
        <v>360</v>
      </c>
      <c r="L817" t="s">
        <v>29</v>
      </c>
      <c r="M817" t="s">
        <v>38</v>
      </c>
      <c r="N817" t="s">
        <v>31</v>
      </c>
      <c r="O817">
        <v>32.5</v>
      </c>
      <c r="P817">
        <v>57.64</v>
      </c>
      <c r="Q817">
        <v>9.35</v>
      </c>
      <c r="R817">
        <v>13.74</v>
      </c>
      <c r="S817">
        <v>0.17</v>
      </c>
      <c r="T817">
        <v>3.42</v>
      </c>
      <c r="U817">
        <v>1.78</v>
      </c>
      <c r="V817">
        <v>1.67</v>
      </c>
      <c r="W817">
        <v>239.73</v>
      </c>
      <c r="X817" t="s">
        <v>32</v>
      </c>
      <c r="Y817" t="s">
        <v>40</v>
      </c>
    </row>
    <row r="818" spans="1:25" x14ac:dyDescent="0.3">
      <c r="A818">
        <v>817</v>
      </c>
      <c r="B818" t="s">
        <v>421</v>
      </c>
      <c r="C818" t="s">
        <v>550</v>
      </c>
      <c r="D818" t="s">
        <v>27</v>
      </c>
      <c r="E818" t="s">
        <v>28</v>
      </c>
      <c r="F818">
        <v>3</v>
      </c>
      <c r="G818">
        <v>200</v>
      </c>
      <c r="H818">
        <v>600</v>
      </c>
      <c r="I818">
        <v>90</v>
      </c>
      <c r="J818">
        <v>270</v>
      </c>
      <c r="K818">
        <v>330</v>
      </c>
      <c r="L818" t="s">
        <v>44</v>
      </c>
      <c r="M818" t="s">
        <v>56</v>
      </c>
      <c r="N818" t="s">
        <v>46</v>
      </c>
      <c r="O818">
        <v>23.5</v>
      </c>
      <c r="P818">
        <v>24.59</v>
      </c>
      <c r="Q818">
        <v>15.71</v>
      </c>
      <c r="R818">
        <v>22.16</v>
      </c>
      <c r="S818">
        <v>1</v>
      </c>
      <c r="T818">
        <v>3.69</v>
      </c>
      <c r="U818">
        <v>5.6</v>
      </c>
      <c r="V818">
        <v>0.18</v>
      </c>
      <c r="W818">
        <v>233.57</v>
      </c>
      <c r="X818" t="s">
        <v>66</v>
      </c>
      <c r="Y818" t="s">
        <v>40</v>
      </c>
    </row>
    <row r="819" spans="1:25" x14ac:dyDescent="0.3">
      <c r="A819">
        <v>818</v>
      </c>
      <c r="B819" t="s">
        <v>419</v>
      </c>
      <c r="C819" t="s">
        <v>385</v>
      </c>
      <c r="D819" t="s">
        <v>62</v>
      </c>
      <c r="E819" t="s">
        <v>28</v>
      </c>
      <c r="F819">
        <v>1</v>
      </c>
      <c r="G819">
        <v>250</v>
      </c>
      <c r="H819">
        <v>250</v>
      </c>
      <c r="I819">
        <v>110</v>
      </c>
      <c r="J819">
        <v>110</v>
      </c>
      <c r="K819">
        <v>140</v>
      </c>
      <c r="L819" t="s">
        <v>29</v>
      </c>
      <c r="M819" t="s">
        <v>38</v>
      </c>
      <c r="N819" t="s">
        <v>46</v>
      </c>
      <c r="O819">
        <v>29.97</v>
      </c>
      <c r="P819">
        <v>17.89</v>
      </c>
      <c r="Q819">
        <v>11.53</v>
      </c>
      <c r="R819">
        <v>4.99</v>
      </c>
      <c r="S819">
        <v>2.0499999999999998</v>
      </c>
      <c r="T819">
        <v>10.87</v>
      </c>
      <c r="U819">
        <v>4.92</v>
      </c>
      <c r="V819">
        <v>2.15</v>
      </c>
      <c r="W819">
        <v>55.63</v>
      </c>
      <c r="X819" t="s">
        <v>66</v>
      </c>
      <c r="Y819" t="s">
        <v>40</v>
      </c>
    </row>
    <row r="820" spans="1:25" x14ac:dyDescent="0.3">
      <c r="A820">
        <v>819</v>
      </c>
      <c r="B820" t="s">
        <v>303</v>
      </c>
      <c r="C820" t="s">
        <v>361</v>
      </c>
      <c r="D820" t="s">
        <v>36</v>
      </c>
      <c r="E820" t="s">
        <v>28</v>
      </c>
      <c r="F820">
        <v>4</v>
      </c>
      <c r="G820">
        <v>220</v>
      </c>
      <c r="H820">
        <v>880</v>
      </c>
      <c r="I820">
        <v>100</v>
      </c>
      <c r="J820">
        <v>400</v>
      </c>
      <c r="K820">
        <v>480</v>
      </c>
      <c r="L820" t="s">
        <v>44</v>
      </c>
      <c r="M820" t="s">
        <v>30</v>
      </c>
      <c r="N820" t="s">
        <v>81</v>
      </c>
      <c r="O820">
        <v>10.26</v>
      </c>
      <c r="P820">
        <v>26.25</v>
      </c>
      <c r="Q820">
        <v>10.38</v>
      </c>
      <c r="R820">
        <v>3.99</v>
      </c>
      <c r="S820">
        <v>3.66</v>
      </c>
      <c r="T820">
        <v>12.19</v>
      </c>
      <c r="U820">
        <v>7.49</v>
      </c>
      <c r="V820">
        <v>0.21</v>
      </c>
      <c r="W820">
        <v>405.57</v>
      </c>
      <c r="X820" t="s">
        <v>57</v>
      </c>
      <c r="Y820" t="s">
        <v>40</v>
      </c>
    </row>
    <row r="821" spans="1:25" x14ac:dyDescent="0.3">
      <c r="A821">
        <v>820</v>
      </c>
      <c r="B821" t="s">
        <v>507</v>
      </c>
      <c r="C821" t="s">
        <v>503</v>
      </c>
      <c r="D821" t="s">
        <v>109</v>
      </c>
      <c r="E821" t="s">
        <v>50</v>
      </c>
      <c r="F821">
        <v>3</v>
      </c>
      <c r="G821">
        <v>150</v>
      </c>
      <c r="H821">
        <v>450</v>
      </c>
      <c r="I821">
        <v>70</v>
      </c>
      <c r="J821">
        <v>210</v>
      </c>
      <c r="K821">
        <v>240</v>
      </c>
      <c r="L821" t="s">
        <v>44</v>
      </c>
      <c r="M821" t="s">
        <v>45</v>
      </c>
      <c r="N821" t="s">
        <v>31</v>
      </c>
      <c r="O821">
        <v>10.47</v>
      </c>
      <c r="P821">
        <v>27.08</v>
      </c>
      <c r="Q821">
        <v>16.86</v>
      </c>
      <c r="R821">
        <v>2.5099999999999998</v>
      </c>
      <c r="S821">
        <v>1.2</v>
      </c>
      <c r="T821">
        <v>9.57</v>
      </c>
      <c r="U821">
        <v>3.48</v>
      </c>
      <c r="V821">
        <v>1.48</v>
      </c>
      <c r="W821">
        <v>167.35</v>
      </c>
      <c r="X821" t="s">
        <v>57</v>
      </c>
      <c r="Y821" t="s">
        <v>33</v>
      </c>
    </row>
    <row r="822" spans="1:25" x14ac:dyDescent="0.3">
      <c r="A822">
        <v>821</v>
      </c>
      <c r="B822" t="s">
        <v>47</v>
      </c>
      <c r="C822" t="s">
        <v>343</v>
      </c>
      <c r="D822" t="s">
        <v>54</v>
      </c>
      <c r="E822" t="s">
        <v>28</v>
      </c>
      <c r="F822">
        <v>4</v>
      </c>
      <c r="G822">
        <v>120</v>
      </c>
      <c r="H822">
        <v>480</v>
      </c>
      <c r="I822">
        <v>50</v>
      </c>
      <c r="J822">
        <v>200</v>
      </c>
      <c r="K822">
        <v>280</v>
      </c>
      <c r="L822" t="s">
        <v>37</v>
      </c>
      <c r="M822" t="s">
        <v>63</v>
      </c>
      <c r="N822" t="s">
        <v>51</v>
      </c>
      <c r="O822">
        <v>25.77</v>
      </c>
      <c r="P822">
        <v>24.86</v>
      </c>
      <c r="Q822">
        <v>8.67</v>
      </c>
      <c r="R822">
        <v>18.22</v>
      </c>
      <c r="S822">
        <v>1.28</v>
      </c>
      <c r="T822">
        <v>5.35</v>
      </c>
      <c r="U822">
        <v>5.88</v>
      </c>
      <c r="V822">
        <v>2.2000000000000002</v>
      </c>
      <c r="W822">
        <v>187.77</v>
      </c>
      <c r="X822" t="s">
        <v>66</v>
      </c>
      <c r="Y822" t="s">
        <v>40</v>
      </c>
    </row>
    <row r="823" spans="1:25" x14ac:dyDescent="0.3">
      <c r="A823">
        <v>822</v>
      </c>
      <c r="B823" t="s">
        <v>200</v>
      </c>
      <c r="C823" t="s">
        <v>458</v>
      </c>
      <c r="D823" t="s">
        <v>43</v>
      </c>
      <c r="E823" t="s">
        <v>43</v>
      </c>
      <c r="F823">
        <v>3</v>
      </c>
      <c r="G823">
        <v>80</v>
      </c>
      <c r="H823">
        <v>240</v>
      </c>
      <c r="I823">
        <v>30</v>
      </c>
      <c r="J823">
        <v>90</v>
      </c>
      <c r="K823">
        <v>150</v>
      </c>
      <c r="L823" t="s">
        <v>37</v>
      </c>
      <c r="M823" t="s">
        <v>38</v>
      </c>
      <c r="N823" t="s">
        <v>46</v>
      </c>
      <c r="O823">
        <v>12.71</v>
      </c>
      <c r="P823">
        <v>45.61</v>
      </c>
      <c r="Q823">
        <v>8.02</v>
      </c>
      <c r="R823">
        <v>27.52</v>
      </c>
      <c r="S823">
        <v>4.6900000000000004</v>
      </c>
      <c r="T823">
        <v>5.48</v>
      </c>
      <c r="U823">
        <v>2.39</v>
      </c>
      <c r="V823">
        <v>2.69</v>
      </c>
      <c r="W823">
        <v>40.89</v>
      </c>
      <c r="X823" t="s">
        <v>66</v>
      </c>
      <c r="Y823" t="s">
        <v>40</v>
      </c>
    </row>
    <row r="824" spans="1:25" x14ac:dyDescent="0.3">
      <c r="A824">
        <v>823</v>
      </c>
      <c r="B824" t="s">
        <v>174</v>
      </c>
      <c r="C824" t="s">
        <v>551</v>
      </c>
      <c r="D824" t="s">
        <v>62</v>
      </c>
      <c r="E824" t="s">
        <v>28</v>
      </c>
      <c r="F824">
        <v>1</v>
      </c>
      <c r="G824">
        <v>250</v>
      </c>
      <c r="H824">
        <v>250</v>
      </c>
      <c r="I824">
        <v>110</v>
      </c>
      <c r="J824">
        <v>110</v>
      </c>
      <c r="K824">
        <v>140</v>
      </c>
      <c r="L824" t="s">
        <v>44</v>
      </c>
      <c r="M824" t="s">
        <v>38</v>
      </c>
      <c r="N824" t="s">
        <v>81</v>
      </c>
      <c r="O824">
        <v>25.39</v>
      </c>
      <c r="P824">
        <v>48.42</v>
      </c>
      <c r="Q824">
        <v>10.78</v>
      </c>
      <c r="R824">
        <v>30.12</v>
      </c>
      <c r="S824">
        <v>0.45</v>
      </c>
      <c r="T824">
        <v>14.74</v>
      </c>
      <c r="U824">
        <v>1.54</v>
      </c>
      <c r="V824">
        <v>0.74</v>
      </c>
      <c r="W824">
        <v>7.82</v>
      </c>
      <c r="X824" t="s">
        <v>66</v>
      </c>
      <c r="Y824" t="s">
        <v>33</v>
      </c>
    </row>
    <row r="825" spans="1:25" x14ac:dyDescent="0.3">
      <c r="A825">
        <v>824</v>
      </c>
      <c r="B825" t="s">
        <v>195</v>
      </c>
      <c r="C825" t="s">
        <v>359</v>
      </c>
      <c r="D825" t="s">
        <v>54</v>
      </c>
      <c r="E825" t="s">
        <v>28</v>
      </c>
      <c r="F825">
        <v>1</v>
      </c>
      <c r="G825">
        <v>120</v>
      </c>
      <c r="H825">
        <v>120</v>
      </c>
      <c r="I825">
        <v>50</v>
      </c>
      <c r="J825">
        <v>50</v>
      </c>
      <c r="K825">
        <v>70</v>
      </c>
      <c r="L825" t="s">
        <v>37</v>
      </c>
      <c r="M825" t="s">
        <v>30</v>
      </c>
      <c r="N825" t="s">
        <v>31</v>
      </c>
      <c r="O825">
        <v>27.18</v>
      </c>
      <c r="P825">
        <v>20.81</v>
      </c>
      <c r="Q825">
        <v>18.190000000000001</v>
      </c>
      <c r="R825">
        <v>15.36</v>
      </c>
      <c r="S825">
        <v>0.28000000000000003</v>
      </c>
      <c r="T825">
        <v>9.0299999999999994</v>
      </c>
      <c r="U825">
        <v>7.82</v>
      </c>
      <c r="V825">
        <v>0.45</v>
      </c>
      <c r="W825">
        <v>-29.12</v>
      </c>
      <c r="X825" t="s">
        <v>32</v>
      </c>
      <c r="Y825" t="s">
        <v>33</v>
      </c>
    </row>
    <row r="826" spans="1:25" x14ac:dyDescent="0.3">
      <c r="A826">
        <v>825</v>
      </c>
      <c r="B826" t="s">
        <v>209</v>
      </c>
      <c r="C826" t="s">
        <v>430</v>
      </c>
      <c r="D826" t="s">
        <v>89</v>
      </c>
      <c r="E826" t="s">
        <v>28</v>
      </c>
      <c r="F826">
        <v>2</v>
      </c>
      <c r="G826">
        <v>180</v>
      </c>
      <c r="H826">
        <v>360</v>
      </c>
      <c r="I826">
        <v>75</v>
      </c>
      <c r="J826">
        <v>150</v>
      </c>
      <c r="K826">
        <v>210</v>
      </c>
      <c r="L826" t="s">
        <v>86</v>
      </c>
      <c r="M826" t="s">
        <v>30</v>
      </c>
      <c r="N826" t="s">
        <v>39</v>
      </c>
      <c r="O826">
        <v>27.74</v>
      </c>
      <c r="P826">
        <v>32.75</v>
      </c>
      <c r="Q826">
        <v>16.21</v>
      </c>
      <c r="R826">
        <v>20.62</v>
      </c>
      <c r="S826">
        <v>0.33</v>
      </c>
      <c r="T826">
        <v>5.08</v>
      </c>
      <c r="U826">
        <v>4.8099999999999996</v>
      </c>
      <c r="V826">
        <v>1.79</v>
      </c>
      <c r="W826">
        <v>100.67</v>
      </c>
      <c r="X826" t="s">
        <v>66</v>
      </c>
      <c r="Y826" t="s">
        <v>40</v>
      </c>
    </row>
    <row r="827" spans="1:25" x14ac:dyDescent="0.3">
      <c r="A827">
        <v>826</v>
      </c>
      <c r="B827" t="s">
        <v>426</v>
      </c>
      <c r="C827" t="s">
        <v>552</v>
      </c>
      <c r="D827" t="s">
        <v>62</v>
      </c>
      <c r="E827" t="s">
        <v>28</v>
      </c>
      <c r="F827">
        <v>3</v>
      </c>
      <c r="G827">
        <v>250</v>
      </c>
      <c r="H827">
        <v>750</v>
      </c>
      <c r="I827">
        <v>110</v>
      </c>
      <c r="J827">
        <v>330</v>
      </c>
      <c r="K827">
        <v>420</v>
      </c>
      <c r="L827" t="s">
        <v>44</v>
      </c>
      <c r="M827" t="s">
        <v>38</v>
      </c>
      <c r="N827" t="s">
        <v>81</v>
      </c>
      <c r="O827">
        <v>20.190000000000001</v>
      </c>
      <c r="P827">
        <v>35.36</v>
      </c>
      <c r="Q827">
        <v>12.57</v>
      </c>
      <c r="R827">
        <v>1.85</v>
      </c>
      <c r="S827">
        <v>2.69</v>
      </c>
      <c r="T827">
        <v>3.54</v>
      </c>
      <c r="U827">
        <v>7.61</v>
      </c>
      <c r="V827">
        <v>2.6</v>
      </c>
      <c r="W827">
        <v>333.59</v>
      </c>
      <c r="X827" t="s">
        <v>32</v>
      </c>
      <c r="Y827" t="s">
        <v>33</v>
      </c>
    </row>
    <row r="828" spans="1:25" x14ac:dyDescent="0.3">
      <c r="A828">
        <v>827</v>
      </c>
      <c r="B828" t="s">
        <v>268</v>
      </c>
      <c r="C828" t="s">
        <v>189</v>
      </c>
      <c r="D828" t="s">
        <v>36</v>
      </c>
      <c r="E828" t="s">
        <v>28</v>
      </c>
      <c r="F828">
        <v>2</v>
      </c>
      <c r="G828">
        <v>220</v>
      </c>
      <c r="H828">
        <v>440</v>
      </c>
      <c r="I828">
        <v>100</v>
      </c>
      <c r="J828">
        <v>200</v>
      </c>
      <c r="K828">
        <v>240</v>
      </c>
      <c r="L828" t="s">
        <v>55</v>
      </c>
      <c r="M828" t="s">
        <v>38</v>
      </c>
      <c r="N828" t="s">
        <v>46</v>
      </c>
      <c r="O828">
        <v>14.43</v>
      </c>
      <c r="P828">
        <v>15.47</v>
      </c>
      <c r="Q828">
        <v>18.010000000000002</v>
      </c>
      <c r="R828">
        <v>7.52</v>
      </c>
      <c r="S828">
        <v>3.95</v>
      </c>
      <c r="T828">
        <v>9.7200000000000006</v>
      </c>
      <c r="U828">
        <v>3.8</v>
      </c>
      <c r="V828">
        <v>1</v>
      </c>
      <c r="W828">
        <v>166.1</v>
      </c>
      <c r="X828" t="s">
        <v>66</v>
      </c>
      <c r="Y828" t="s">
        <v>40</v>
      </c>
    </row>
    <row r="829" spans="1:25" x14ac:dyDescent="0.3">
      <c r="A829">
        <v>828</v>
      </c>
      <c r="B829" t="s">
        <v>433</v>
      </c>
      <c r="C829" t="s">
        <v>272</v>
      </c>
      <c r="D829" t="s">
        <v>49</v>
      </c>
      <c r="E829" t="s">
        <v>50</v>
      </c>
      <c r="F829">
        <v>4</v>
      </c>
      <c r="G829">
        <v>180</v>
      </c>
      <c r="H829">
        <v>720</v>
      </c>
      <c r="I829">
        <v>90</v>
      </c>
      <c r="J829">
        <v>360</v>
      </c>
      <c r="K829">
        <v>360</v>
      </c>
      <c r="L829" t="s">
        <v>86</v>
      </c>
      <c r="M829" t="s">
        <v>45</v>
      </c>
      <c r="N829" t="s">
        <v>39</v>
      </c>
      <c r="O829">
        <v>20</v>
      </c>
      <c r="P829">
        <v>59.94</v>
      </c>
      <c r="Q829">
        <v>17.149999999999999</v>
      </c>
      <c r="R829">
        <v>5.26</v>
      </c>
      <c r="S829">
        <v>4.3899999999999997</v>
      </c>
      <c r="T829">
        <v>13.84</v>
      </c>
      <c r="U829">
        <v>1.74</v>
      </c>
      <c r="V829">
        <v>2.91</v>
      </c>
      <c r="W829">
        <v>234.77</v>
      </c>
      <c r="X829" t="s">
        <v>57</v>
      </c>
      <c r="Y829" t="s">
        <v>33</v>
      </c>
    </row>
    <row r="830" spans="1:25" x14ac:dyDescent="0.3">
      <c r="A830">
        <v>829</v>
      </c>
      <c r="B830" t="s">
        <v>110</v>
      </c>
      <c r="C830" t="s">
        <v>129</v>
      </c>
      <c r="D830" t="s">
        <v>54</v>
      </c>
      <c r="E830" t="s">
        <v>28</v>
      </c>
      <c r="F830">
        <v>3</v>
      </c>
      <c r="G830">
        <v>120</v>
      </c>
      <c r="H830">
        <v>360</v>
      </c>
      <c r="I830">
        <v>50</v>
      </c>
      <c r="J830">
        <v>150</v>
      </c>
      <c r="K830">
        <v>210</v>
      </c>
      <c r="L830" t="s">
        <v>44</v>
      </c>
      <c r="M830" t="s">
        <v>30</v>
      </c>
      <c r="N830" t="s">
        <v>51</v>
      </c>
      <c r="O830">
        <v>14.59</v>
      </c>
      <c r="P830">
        <v>15.96</v>
      </c>
      <c r="Q830">
        <v>6.69</v>
      </c>
      <c r="R830">
        <v>33.26</v>
      </c>
      <c r="S830">
        <v>4.16</v>
      </c>
      <c r="T830">
        <v>11.53</v>
      </c>
      <c r="U830">
        <v>3.64</v>
      </c>
      <c r="V830">
        <v>2.2799999999999998</v>
      </c>
      <c r="W830">
        <v>117.89</v>
      </c>
      <c r="X830" t="s">
        <v>32</v>
      </c>
      <c r="Y830" t="s">
        <v>33</v>
      </c>
    </row>
    <row r="831" spans="1:25" x14ac:dyDescent="0.3">
      <c r="A831">
        <v>830</v>
      </c>
      <c r="B831" t="s">
        <v>119</v>
      </c>
      <c r="C831" t="s">
        <v>528</v>
      </c>
      <c r="D831" t="s">
        <v>43</v>
      </c>
      <c r="E831" t="s">
        <v>43</v>
      </c>
      <c r="F831">
        <v>1</v>
      </c>
      <c r="G831">
        <v>80</v>
      </c>
      <c r="H831">
        <v>80</v>
      </c>
      <c r="I831">
        <v>30</v>
      </c>
      <c r="J831">
        <v>30</v>
      </c>
      <c r="K831">
        <v>50</v>
      </c>
      <c r="L831" t="s">
        <v>29</v>
      </c>
      <c r="M831" t="s">
        <v>63</v>
      </c>
      <c r="N831" t="s">
        <v>39</v>
      </c>
      <c r="O831">
        <v>37.729999999999997</v>
      </c>
      <c r="P831">
        <v>19.37</v>
      </c>
      <c r="Q831">
        <v>6.96</v>
      </c>
      <c r="R831">
        <v>16.03</v>
      </c>
      <c r="S831">
        <v>4.93</v>
      </c>
      <c r="T831">
        <v>14.19</v>
      </c>
      <c r="U831">
        <v>6.23</v>
      </c>
      <c r="V831">
        <v>1.67</v>
      </c>
      <c r="W831">
        <v>-57.11</v>
      </c>
      <c r="X831" t="s">
        <v>57</v>
      </c>
      <c r="Y831" t="s">
        <v>40</v>
      </c>
    </row>
    <row r="832" spans="1:25" x14ac:dyDescent="0.3">
      <c r="A832">
        <v>831</v>
      </c>
      <c r="B832" t="s">
        <v>440</v>
      </c>
      <c r="C832" t="s">
        <v>212</v>
      </c>
      <c r="D832" t="s">
        <v>36</v>
      </c>
      <c r="E832" t="s">
        <v>28</v>
      </c>
      <c r="F832">
        <v>2</v>
      </c>
      <c r="G832">
        <v>220</v>
      </c>
      <c r="H832">
        <v>440</v>
      </c>
      <c r="I832">
        <v>100</v>
      </c>
      <c r="J832">
        <v>200</v>
      </c>
      <c r="K832">
        <v>240</v>
      </c>
      <c r="L832" t="s">
        <v>55</v>
      </c>
      <c r="M832" t="s">
        <v>63</v>
      </c>
      <c r="N832" t="s">
        <v>81</v>
      </c>
      <c r="O832">
        <v>32.83</v>
      </c>
      <c r="P832">
        <v>34.19</v>
      </c>
      <c r="Q832">
        <v>16.93</v>
      </c>
      <c r="R832">
        <v>33.49</v>
      </c>
      <c r="S832">
        <v>3.26</v>
      </c>
      <c r="T832">
        <v>9.0500000000000007</v>
      </c>
      <c r="U832">
        <v>7.48</v>
      </c>
      <c r="V832">
        <v>0.78</v>
      </c>
      <c r="W832">
        <v>101.99</v>
      </c>
      <c r="X832" t="s">
        <v>66</v>
      </c>
      <c r="Y832" t="s">
        <v>40</v>
      </c>
    </row>
    <row r="833" spans="1:25" x14ac:dyDescent="0.3">
      <c r="A833">
        <v>832</v>
      </c>
      <c r="B833" t="s">
        <v>191</v>
      </c>
      <c r="C833" t="s">
        <v>370</v>
      </c>
      <c r="D833" t="s">
        <v>43</v>
      </c>
      <c r="E833" t="s">
        <v>43</v>
      </c>
      <c r="F833">
        <v>3</v>
      </c>
      <c r="G833">
        <v>80</v>
      </c>
      <c r="H833">
        <v>240</v>
      </c>
      <c r="I833">
        <v>30</v>
      </c>
      <c r="J833">
        <v>90</v>
      </c>
      <c r="K833">
        <v>150</v>
      </c>
      <c r="L833" t="s">
        <v>29</v>
      </c>
      <c r="M833" t="s">
        <v>45</v>
      </c>
      <c r="N833" t="s">
        <v>81</v>
      </c>
      <c r="O833">
        <v>21.75</v>
      </c>
      <c r="P833">
        <v>45.98</v>
      </c>
      <c r="Q833">
        <v>8.7200000000000006</v>
      </c>
      <c r="R833">
        <v>21.81</v>
      </c>
      <c r="S833">
        <v>3.49</v>
      </c>
      <c r="T833">
        <v>12.32</v>
      </c>
      <c r="U833">
        <v>7.95</v>
      </c>
      <c r="V833">
        <v>1.68</v>
      </c>
      <c r="W833">
        <v>26.3</v>
      </c>
      <c r="X833" t="s">
        <v>66</v>
      </c>
      <c r="Y833" t="s">
        <v>40</v>
      </c>
    </row>
    <row r="834" spans="1:25" x14ac:dyDescent="0.3">
      <c r="A834">
        <v>833</v>
      </c>
      <c r="B834" t="s">
        <v>521</v>
      </c>
      <c r="C834" t="s">
        <v>220</v>
      </c>
      <c r="D834" t="s">
        <v>54</v>
      </c>
      <c r="E834" t="s">
        <v>28</v>
      </c>
      <c r="F834">
        <v>4</v>
      </c>
      <c r="G834">
        <v>120</v>
      </c>
      <c r="H834">
        <v>480</v>
      </c>
      <c r="I834">
        <v>50</v>
      </c>
      <c r="J834">
        <v>200</v>
      </c>
      <c r="K834">
        <v>280</v>
      </c>
      <c r="L834" t="s">
        <v>37</v>
      </c>
      <c r="M834" t="s">
        <v>63</v>
      </c>
      <c r="N834" t="s">
        <v>31</v>
      </c>
      <c r="O834">
        <v>16.79</v>
      </c>
      <c r="P834">
        <v>42.99</v>
      </c>
      <c r="Q834">
        <v>14.38</v>
      </c>
      <c r="R834">
        <v>24.14</v>
      </c>
      <c r="S834">
        <v>1.1100000000000001</v>
      </c>
      <c r="T834">
        <v>2.77</v>
      </c>
      <c r="U834">
        <v>3.56</v>
      </c>
      <c r="V834">
        <v>2.31</v>
      </c>
      <c r="W834">
        <v>171.95</v>
      </c>
      <c r="X834" t="s">
        <v>57</v>
      </c>
      <c r="Y834" t="s">
        <v>33</v>
      </c>
    </row>
    <row r="835" spans="1:25" x14ac:dyDescent="0.3">
      <c r="A835">
        <v>834</v>
      </c>
      <c r="B835" t="s">
        <v>263</v>
      </c>
      <c r="C835" t="s">
        <v>230</v>
      </c>
      <c r="D835" t="s">
        <v>49</v>
      </c>
      <c r="E835" t="s">
        <v>50</v>
      </c>
      <c r="F835">
        <v>1</v>
      </c>
      <c r="G835">
        <v>180</v>
      </c>
      <c r="H835">
        <v>180</v>
      </c>
      <c r="I835">
        <v>90</v>
      </c>
      <c r="J835">
        <v>90</v>
      </c>
      <c r="K835">
        <v>90</v>
      </c>
      <c r="L835" t="s">
        <v>29</v>
      </c>
      <c r="M835" t="s">
        <v>38</v>
      </c>
      <c r="N835" t="s">
        <v>81</v>
      </c>
      <c r="O835">
        <v>13.74</v>
      </c>
      <c r="P835">
        <v>56.86</v>
      </c>
      <c r="Q835">
        <v>10.64</v>
      </c>
      <c r="R835">
        <v>27.54</v>
      </c>
      <c r="S835">
        <v>4.1900000000000004</v>
      </c>
      <c r="T835">
        <v>8.11</v>
      </c>
      <c r="U835">
        <v>2.4300000000000002</v>
      </c>
      <c r="V835">
        <v>0.62</v>
      </c>
      <c r="W835">
        <v>-34.130000000000003</v>
      </c>
      <c r="X835" t="s">
        <v>32</v>
      </c>
      <c r="Y835" t="s">
        <v>33</v>
      </c>
    </row>
    <row r="836" spans="1:25" x14ac:dyDescent="0.3">
      <c r="A836">
        <v>835</v>
      </c>
      <c r="B836" t="s">
        <v>182</v>
      </c>
      <c r="C836" t="s">
        <v>428</v>
      </c>
      <c r="D836" t="s">
        <v>54</v>
      </c>
      <c r="E836" t="s">
        <v>28</v>
      </c>
      <c r="F836">
        <v>3</v>
      </c>
      <c r="G836">
        <v>120</v>
      </c>
      <c r="H836">
        <v>360</v>
      </c>
      <c r="I836">
        <v>50</v>
      </c>
      <c r="J836">
        <v>150</v>
      </c>
      <c r="K836">
        <v>210</v>
      </c>
      <c r="L836" t="s">
        <v>55</v>
      </c>
      <c r="M836" t="s">
        <v>30</v>
      </c>
      <c r="N836" t="s">
        <v>31</v>
      </c>
      <c r="O836">
        <v>27.46</v>
      </c>
      <c r="P836">
        <v>57.86</v>
      </c>
      <c r="Q836">
        <v>12.71</v>
      </c>
      <c r="R836">
        <v>13.91</v>
      </c>
      <c r="S836">
        <v>1.22</v>
      </c>
      <c r="T836">
        <v>10.06</v>
      </c>
      <c r="U836">
        <v>7.45</v>
      </c>
      <c r="V836">
        <v>0.75</v>
      </c>
      <c r="W836">
        <v>78.58</v>
      </c>
      <c r="X836" t="s">
        <v>32</v>
      </c>
      <c r="Y836" t="s">
        <v>40</v>
      </c>
    </row>
    <row r="837" spans="1:25" x14ac:dyDescent="0.3">
      <c r="A837">
        <v>836</v>
      </c>
      <c r="B837" t="s">
        <v>130</v>
      </c>
      <c r="C837" t="s">
        <v>202</v>
      </c>
      <c r="D837" t="s">
        <v>49</v>
      </c>
      <c r="E837" t="s">
        <v>50</v>
      </c>
      <c r="F837">
        <v>4</v>
      </c>
      <c r="G837">
        <v>180</v>
      </c>
      <c r="H837">
        <v>720</v>
      </c>
      <c r="I837">
        <v>90</v>
      </c>
      <c r="J837">
        <v>360</v>
      </c>
      <c r="K837">
        <v>360</v>
      </c>
      <c r="L837" t="s">
        <v>29</v>
      </c>
      <c r="M837" t="s">
        <v>63</v>
      </c>
      <c r="N837" t="s">
        <v>51</v>
      </c>
      <c r="O837">
        <v>20.49</v>
      </c>
      <c r="P837">
        <v>16</v>
      </c>
      <c r="Q837">
        <v>14.62</v>
      </c>
      <c r="R837">
        <v>3.28</v>
      </c>
      <c r="S837">
        <v>4.92</v>
      </c>
      <c r="T837">
        <v>5.03</v>
      </c>
      <c r="U837">
        <v>3.28</v>
      </c>
      <c r="V837">
        <v>1.43</v>
      </c>
      <c r="W837">
        <v>290.95</v>
      </c>
      <c r="X837" t="s">
        <v>66</v>
      </c>
      <c r="Y837" t="s">
        <v>33</v>
      </c>
    </row>
    <row r="838" spans="1:25" x14ac:dyDescent="0.3">
      <c r="A838">
        <v>837</v>
      </c>
      <c r="B838" t="s">
        <v>138</v>
      </c>
      <c r="C838" t="s">
        <v>470</v>
      </c>
      <c r="D838" t="s">
        <v>54</v>
      </c>
      <c r="E838" t="s">
        <v>28</v>
      </c>
      <c r="F838">
        <v>2</v>
      </c>
      <c r="G838">
        <v>120</v>
      </c>
      <c r="H838">
        <v>240</v>
      </c>
      <c r="I838">
        <v>50</v>
      </c>
      <c r="J838">
        <v>100</v>
      </c>
      <c r="K838">
        <v>140</v>
      </c>
      <c r="L838" t="s">
        <v>44</v>
      </c>
      <c r="M838" t="s">
        <v>63</v>
      </c>
      <c r="N838" t="s">
        <v>39</v>
      </c>
      <c r="O838">
        <v>15.89</v>
      </c>
      <c r="P838">
        <v>43.33</v>
      </c>
      <c r="Q838">
        <v>12.92</v>
      </c>
      <c r="R838">
        <v>30.83</v>
      </c>
      <c r="S838">
        <v>0.17</v>
      </c>
      <c r="T838">
        <v>14.03</v>
      </c>
      <c r="U838">
        <v>6.91</v>
      </c>
      <c r="V838">
        <v>1.05</v>
      </c>
      <c r="W838">
        <v>14.87</v>
      </c>
      <c r="X838" t="s">
        <v>66</v>
      </c>
      <c r="Y838" t="s">
        <v>33</v>
      </c>
    </row>
    <row r="839" spans="1:25" x14ac:dyDescent="0.3">
      <c r="A839">
        <v>838</v>
      </c>
      <c r="B839" t="s">
        <v>281</v>
      </c>
      <c r="C839" t="s">
        <v>363</v>
      </c>
      <c r="D839" t="s">
        <v>62</v>
      </c>
      <c r="E839" t="s">
        <v>28</v>
      </c>
      <c r="F839">
        <v>2</v>
      </c>
      <c r="G839">
        <v>250</v>
      </c>
      <c r="H839">
        <v>500</v>
      </c>
      <c r="I839">
        <v>110</v>
      </c>
      <c r="J839">
        <v>220</v>
      </c>
      <c r="K839">
        <v>280</v>
      </c>
      <c r="L839" t="s">
        <v>55</v>
      </c>
      <c r="M839" t="s">
        <v>56</v>
      </c>
      <c r="N839" t="s">
        <v>46</v>
      </c>
      <c r="O839">
        <v>17.2</v>
      </c>
      <c r="P839">
        <v>48.64</v>
      </c>
      <c r="Q839">
        <v>16.440000000000001</v>
      </c>
      <c r="R839">
        <v>24.01</v>
      </c>
      <c r="S839">
        <v>1.07</v>
      </c>
      <c r="T839">
        <v>10.91</v>
      </c>
      <c r="U839">
        <v>1.93</v>
      </c>
      <c r="V839">
        <v>0.06</v>
      </c>
      <c r="W839">
        <v>159.74</v>
      </c>
      <c r="X839" t="s">
        <v>66</v>
      </c>
      <c r="Y839" t="s">
        <v>40</v>
      </c>
    </row>
    <row r="840" spans="1:25" x14ac:dyDescent="0.3">
      <c r="A840">
        <v>839</v>
      </c>
      <c r="B840" t="s">
        <v>488</v>
      </c>
      <c r="C840" t="s">
        <v>184</v>
      </c>
      <c r="D840" t="s">
        <v>27</v>
      </c>
      <c r="E840" t="s">
        <v>28</v>
      </c>
      <c r="F840">
        <v>3</v>
      </c>
      <c r="G840">
        <v>200</v>
      </c>
      <c r="H840">
        <v>600</v>
      </c>
      <c r="I840">
        <v>90</v>
      </c>
      <c r="J840">
        <v>270</v>
      </c>
      <c r="K840">
        <v>330</v>
      </c>
      <c r="L840" t="s">
        <v>44</v>
      </c>
      <c r="M840" t="s">
        <v>38</v>
      </c>
      <c r="N840" t="s">
        <v>31</v>
      </c>
      <c r="O840">
        <v>10.67</v>
      </c>
      <c r="P840">
        <v>41.39</v>
      </c>
      <c r="Q840">
        <v>6.6</v>
      </c>
      <c r="R840">
        <v>14.22</v>
      </c>
      <c r="S840">
        <v>3.19</v>
      </c>
      <c r="T840">
        <v>8.5399999999999991</v>
      </c>
      <c r="U840">
        <v>2.74</v>
      </c>
      <c r="V840">
        <v>0.87</v>
      </c>
      <c r="W840">
        <v>241.78</v>
      </c>
      <c r="X840" t="s">
        <v>57</v>
      </c>
      <c r="Y840" t="s">
        <v>33</v>
      </c>
    </row>
    <row r="841" spans="1:25" x14ac:dyDescent="0.3">
      <c r="A841">
        <v>840</v>
      </c>
      <c r="B841" t="s">
        <v>149</v>
      </c>
      <c r="C841" t="s">
        <v>131</v>
      </c>
      <c r="D841" t="s">
        <v>54</v>
      </c>
      <c r="E841" t="s">
        <v>28</v>
      </c>
      <c r="F841">
        <v>1</v>
      </c>
      <c r="G841">
        <v>120</v>
      </c>
      <c r="H841">
        <v>120</v>
      </c>
      <c r="I841">
        <v>50</v>
      </c>
      <c r="J841">
        <v>50</v>
      </c>
      <c r="K841">
        <v>70</v>
      </c>
      <c r="L841" t="s">
        <v>29</v>
      </c>
      <c r="M841" t="s">
        <v>45</v>
      </c>
      <c r="N841" t="s">
        <v>90</v>
      </c>
      <c r="O841">
        <v>32.880000000000003</v>
      </c>
      <c r="P841">
        <v>27.05</v>
      </c>
      <c r="Q841">
        <v>5.93</v>
      </c>
      <c r="R841">
        <v>8.6999999999999993</v>
      </c>
      <c r="S841">
        <v>4.5599999999999996</v>
      </c>
      <c r="T841">
        <v>14.08</v>
      </c>
      <c r="U841">
        <v>5.78</v>
      </c>
      <c r="V841">
        <v>1.73</v>
      </c>
      <c r="W841">
        <v>-30.71</v>
      </c>
      <c r="X841" t="s">
        <v>66</v>
      </c>
      <c r="Y841" t="s">
        <v>40</v>
      </c>
    </row>
    <row r="842" spans="1:25" x14ac:dyDescent="0.3">
      <c r="A842">
        <v>841</v>
      </c>
      <c r="B842" t="s">
        <v>198</v>
      </c>
      <c r="C842" t="s">
        <v>408</v>
      </c>
      <c r="D842" t="s">
        <v>36</v>
      </c>
      <c r="E842" t="s">
        <v>28</v>
      </c>
      <c r="F842">
        <v>3</v>
      </c>
      <c r="G842">
        <v>220</v>
      </c>
      <c r="H842">
        <v>660</v>
      </c>
      <c r="I842">
        <v>100</v>
      </c>
      <c r="J842">
        <v>300</v>
      </c>
      <c r="K842">
        <v>360</v>
      </c>
      <c r="L842" t="s">
        <v>44</v>
      </c>
      <c r="M842" t="s">
        <v>56</v>
      </c>
      <c r="N842" t="s">
        <v>39</v>
      </c>
      <c r="O842">
        <v>11.77</v>
      </c>
      <c r="P842">
        <v>33.090000000000003</v>
      </c>
      <c r="Q842">
        <v>6.7</v>
      </c>
      <c r="R842">
        <v>3.17</v>
      </c>
      <c r="S842">
        <v>4.3899999999999997</v>
      </c>
      <c r="T842">
        <v>5.86</v>
      </c>
      <c r="U842">
        <v>3.63</v>
      </c>
      <c r="V842">
        <v>0.96</v>
      </c>
      <c r="W842">
        <v>290.43</v>
      </c>
      <c r="X842" t="s">
        <v>57</v>
      </c>
      <c r="Y842" t="s">
        <v>40</v>
      </c>
    </row>
    <row r="843" spans="1:25" x14ac:dyDescent="0.3">
      <c r="A843">
        <v>842</v>
      </c>
      <c r="B843" t="s">
        <v>67</v>
      </c>
      <c r="C843" t="s">
        <v>276</v>
      </c>
      <c r="D843" t="s">
        <v>43</v>
      </c>
      <c r="E843" t="s">
        <v>43</v>
      </c>
      <c r="F843">
        <v>3</v>
      </c>
      <c r="G843">
        <v>80</v>
      </c>
      <c r="H843">
        <v>240</v>
      </c>
      <c r="I843">
        <v>30</v>
      </c>
      <c r="J843">
        <v>90</v>
      </c>
      <c r="K843">
        <v>150</v>
      </c>
      <c r="L843" t="s">
        <v>37</v>
      </c>
      <c r="M843" t="s">
        <v>38</v>
      </c>
      <c r="N843" t="s">
        <v>51</v>
      </c>
      <c r="O843">
        <v>35.36</v>
      </c>
      <c r="P843">
        <v>57.61</v>
      </c>
      <c r="Q843">
        <v>12.95</v>
      </c>
      <c r="R843">
        <v>19.45</v>
      </c>
      <c r="S843">
        <v>2.2999999999999998</v>
      </c>
      <c r="T843">
        <v>11</v>
      </c>
      <c r="U843">
        <v>6.79</v>
      </c>
      <c r="V843">
        <v>0.18</v>
      </c>
      <c r="W843">
        <v>4.3600000000000003</v>
      </c>
      <c r="X843" t="s">
        <v>32</v>
      </c>
      <c r="Y843" t="s">
        <v>40</v>
      </c>
    </row>
    <row r="844" spans="1:25" x14ac:dyDescent="0.3">
      <c r="A844">
        <v>843</v>
      </c>
      <c r="B844" t="s">
        <v>444</v>
      </c>
      <c r="C844" t="s">
        <v>552</v>
      </c>
      <c r="D844" t="s">
        <v>43</v>
      </c>
      <c r="E844" t="s">
        <v>43</v>
      </c>
      <c r="F844">
        <v>4</v>
      </c>
      <c r="G844">
        <v>80</v>
      </c>
      <c r="H844">
        <v>320</v>
      </c>
      <c r="I844">
        <v>30</v>
      </c>
      <c r="J844">
        <v>120</v>
      </c>
      <c r="K844">
        <v>200</v>
      </c>
      <c r="L844" t="s">
        <v>55</v>
      </c>
      <c r="M844" t="s">
        <v>30</v>
      </c>
      <c r="N844" t="s">
        <v>81</v>
      </c>
      <c r="O844">
        <v>33.5</v>
      </c>
      <c r="P844">
        <v>50.91</v>
      </c>
      <c r="Q844">
        <v>12.67</v>
      </c>
      <c r="R844">
        <v>20.55</v>
      </c>
      <c r="S844">
        <v>1.1599999999999999</v>
      </c>
      <c r="T844">
        <v>3.24</v>
      </c>
      <c r="U844">
        <v>1.49</v>
      </c>
      <c r="V844">
        <v>1.61</v>
      </c>
      <c r="W844">
        <v>74.87</v>
      </c>
      <c r="X844" t="s">
        <v>66</v>
      </c>
      <c r="Y844" t="s">
        <v>40</v>
      </c>
    </row>
    <row r="845" spans="1:25" x14ac:dyDescent="0.3">
      <c r="A845">
        <v>844</v>
      </c>
      <c r="B845" t="s">
        <v>488</v>
      </c>
      <c r="C845" t="s">
        <v>83</v>
      </c>
      <c r="D845" t="s">
        <v>43</v>
      </c>
      <c r="E845" t="s">
        <v>43</v>
      </c>
      <c r="F845">
        <v>3</v>
      </c>
      <c r="G845">
        <v>80</v>
      </c>
      <c r="H845">
        <v>240</v>
      </c>
      <c r="I845">
        <v>30</v>
      </c>
      <c r="J845">
        <v>90</v>
      </c>
      <c r="K845">
        <v>150</v>
      </c>
      <c r="L845" t="s">
        <v>86</v>
      </c>
      <c r="M845" t="s">
        <v>56</v>
      </c>
      <c r="N845" t="s">
        <v>46</v>
      </c>
      <c r="O845">
        <v>12.42</v>
      </c>
      <c r="P845">
        <v>23.87</v>
      </c>
      <c r="Q845">
        <v>9.25</v>
      </c>
      <c r="R845">
        <v>29.95</v>
      </c>
      <c r="S845">
        <v>3.33</v>
      </c>
      <c r="T845">
        <v>10.71</v>
      </c>
      <c r="U845">
        <v>5.53</v>
      </c>
      <c r="V845">
        <v>0.59</v>
      </c>
      <c r="W845">
        <v>54.35</v>
      </c>
      <c r="X845" t="s">
        <v>57</v>
      </c>
      <c r="Y845" t="s">
        <v>40</v>
      </c>
    </row>
    <row r="846" spans="1:25" x14ac:dyDescent="0.3">
      <c r="A846">
        <v>845</v>
      </c>
      <c r="B846" t="s">
        <v>69</v>
      </c>
      <c r="C846" t="s">
        <v>196</v>
      </c>
      <c r="D846" t="s">
        <v>36</v>
      </c>
      <c r="E846" t="s">
        <v>28</v>
      </c>
      <c r="F846">
        <v>3</v>
      </c>
      <c r="G846">
        <v>220</v>
      </c>
      <c r="H846">
        <v>660</v>
      </c>
      <c r="I846">
        <v>100</v>
      </c>
      <c r="J846">
        <v>300</v>
      </c>
      <c r="K846">
        <v>360</v>
      </c>
      <c r="L846" t="s">
        <v>37</v>
      </c>
      <c r="M846" t="s">
        <v>38</v>
      </c>
      <c r="N846" t="s">
        <v>81</v>
      </c>
      <c r="O846">
        <v>36.32</v>
      </c>
      <c r="P846">
        <v>46.46</v>
      </c>
      <c r="Q846">
        <v>18.39</v>
      </c>
      <c r="R846">
        <v>9.09</v>
      </c>
      <c r="S846">
        <v>3.04</v>
      </c>
      <c r="T846">
        <v>9.8800000000000008</v>
      </c>
      <c r="U846">
        <v>5.58</v>
      </c>
      <c r="V846">
        <v>2.41</v>
      </c>
      <c r="W846">
        <v>228.83</v>
      </c>
      <c r="X846" t="s">
        <v>32</v>
      </c>
      <c r="Y846" t="s">
        <v>33</v>
      </c>
    </row>
    <row r="847" spans="1:25" x14ac:dyDescent="0.3">
      <c r="A847">
        <v>846</v>
      </c>
      <c r="B847" t="s">
        <v>421</v>
      </c>
      <c r="C847" t="s">
        <v>199</v>
      </c>
      <c r="D847" t="s">
        <v>43</v>
      </c>
      <c r="E847" t="s">
        <v>43</v>
      </c>
      <c r="F847">
        <v>1</v>
      </c>
      <c r="G847">
        <v>80</v>
      </c>
      <c r="H847">
        <v>80</v>
      </c>
      <c r="I847">
        <v>30</v>
      </c>
      <c r="J847">
        <v>30</v>
      </c>
      <c r="K847">
        <v>50</v>
      </c>
      <c r="L847" t="s">
        <v>86</v>
      </c>
      <c r="M847" t="s">
        <v>38</v>
      </c>
      <c r="N847" t="s">
        <v>46</v>
      </c>
      <c r="O847">
        <v>19.079999999999998</v>
      </c>
      <c r="P847">
        <v>36.39</v>
      </c>
      <c r="Q847">
        <v>5.7</v>
      </c>
      <c r="R847">
        <v>5.42</v>
      </c>
      <c r="S847">
        <v>4.92</v>
      </c>
      <c r="T847">
        <v>14.65</v>
      </c>
      <c r="U847">
        <v>5.24</v>
      </c>
      <c r="V847">
        <v>1.22</v>
      </c>
      <c r="W847">
        <v>-42.62</v>
      </c>
      <c r="X847" t="s">
        <v>66</v>
      </c>
      <c r="Y847" t="s">
        <v>33</v>
      </c>
    </row>
    <row r="848" spans="1:25" x14ac:dyDescent="0.3">
      <c r="A848">
        <v>847</v>
      </c>
      <c r="B848" t="s">
        <v>312</v>
      </c>
      <c r="C848" t="s">
        <v>53</v>
      </c>
      <c r="D848" t="s">
        <v>27</v>
      </c>
      <c r="E848" t="s">
        <v>28</v>
      </c>
      <c r="F848">
        <v>1</v>
      </c>
      <c r="G848">
        <v>200</v>
      </c>
      <c r="H848">
        <v>200</v>
      </c>
      <c r="I848">
        <v>90</v>
      </c>
      <c r="J848">
        <v>90</v>
      </c>
      <c r="K848">
        <v>110</v>
      </c>
      <c r="L848" t="s">
        <v>44</v>
      </c>
      <c r="M848" t="s">
        <v>45</v>
      </c>
      <c r="N848" t="s">
        <v>39</v>
      </c>
      <c r="O848">
        <v>14.28</v>
      </c>
      <c r="P848">
        <v>47.06</v>
      </c>
      <c r="Q848">
        <v>8.74</v>
      </c>
      <c r="R848">
        <v>28.16</v>
      </c>
      <c r="S848">
        <v>2.29</v>
      </c>
      <c r="T848">
        <v>13.96</v>
      </c>
      <c r="U848">
        <v>4.7699999999999996</v>
      </c>
      <c r="V848">
        <v>1.6</v>
      </c>
      <c r="W848">
        <v>-10.86</v>
      </c>
      <c r="X848" t="s">
        <v>66</v>
      </c>
      <c r="Y848" t="s">
        <v>40</v>
      </c>
    </row>
    <row r="849" spans="1:25" x14ac:dyDescent="0.3">
      <c r="A849">
        <v>848</v>
      </c>
      <c r="B849" t="s">
        <v>330</v>
      </c>
      <c r="C849" t="s">
        <v>355</v>
      </c>
      <c r="D849" t="s">
        <v>109</v>
      </c>
      <c r="E849" t="s">
        <v>50</v>
      </c>
      <c r="F849">
        <v>4</v>
      </c>
      <c r="G849">
        <v>150</v>
      </c>
      <c r="H849">
        <v>600</v>
      </c>
      <c r="I849">
        <v>70</v>
      </c>
      <c r="J849">
        <v>280</v>
      </c>
      <c r="K849">
        <v>320</v>
      </c>
      <c r="L849" t="s">
        <v>29</v>
      </c>
      <c r="M849" t="s">
        <v>45</v>
      </c>
      <c r="N849" t="s">
        <v>46</v>
      </c>
      <c r="O849">
        <v>20.14</v>
      </c>
      <c r="P849">
        <v>58.87</v>
      </c>
      <c r="Q849">
        <v>10.79</v>
      </c>
      <c r="R849">
        <v>27.07</v>
      </c>
      <c r="S849">
        <v>0.38</v>
      </c>
      <c r="T849">
        <v>11.39</v>
      </c>
      <c r="U849">
        <v>2.68</v>
      </c>
      <c r="V849">
        <v>2.2000000000000002</v>
      </c>
      <c r="W849">
        <v>186.48</v>
      </c>
      <c r="X849" t="s">
        <v>66</v>
      </c>
      <c r="Y849" t="s">
        <v>33</v>
      </c>
    </row>
    <row r="850" spans="1:25" x14ac:dyDescent="0.3">
      <c r="A850">
        <v>849</v>
      </c>
      <c r="B850" t="s">
        <v>344</v>
      </c>
      <c r="C850" t="s">
        <v>382</v>
      </c>
      <c r="D850" t="s">
        <v>43</v>
      </c>
      <c r="E850" t="s">
        <v>43</v>
      </c>
      <c r="F850">
        <v>1</v>
      </c>
      <c r="G850">
        <v>80</v>
      </c>
      <c r="H850">
        <v>80</v>
      </c>
      <c r="I850">
        <v>30</v>
      </c>
      <c r="J850">
        <v>30</v>
      </c>
      <c r="K850">
        <v>50</v>
      </c>
      <c r="L850" t="s">
        <v>86</v>
      </c>
      <c r="M850" t="s">
        <v>63</v>
      </c>
      <c r="N850" t="s">
        <v>51</v>
      </c>
      <c r="O850">
        <v>11.62</v>
      </c>
      <c r="P850">
        <v>26.33</v>
      </c>
      <c r="Q850">
        <v>12.63</v>
      </c>
      <c r="R850">
        <v>1.55</v>
      </c>
      <c r="S850">
        <v>3.13</v>
      </c>
      <c r="T850">
        <v>11.89</v>
      </c>
      <c r="U850">
        <v>7.37</v>
      </c>
      <c r="V850">
        <v>1.75</v>
      </c>
      <c r="W850">
        <v>-26.27</v>
      </c>
      <c r="X850" t="s">
        <v>57</v>
      </c>
      <c r="Y850" t="s">
        <v>33</v>
      </c>
    </row>
    <row r="851" spans="1:25" x14ac:dyDescent="0.3">
      <c r="A851">
        <v>850</v>
      </c>
      <c r="B851" t="s">
        <v>95</v>
      </c>
      <c r="C851" t="s">
        <v>462</v>
      </c>
      <c r="D851" t="s">
        <v>43</v>
      </c>
      <c r="E851" t="s">
        <v>43</v>
      </c>
      <c r="F851">
        <v>3</v>
      </c>
      <c r="G851">
        <v>80</v>
      </c>
      <c r="H851">
        <v>240</v>
      </c>
      <c r="I851">
        <v>30</v>
      </c>
      <c r="J851">
        <v>90</v>
      </c>
      <c r="K851">
        <v>150</v>
      </c>
      <c r="L851" t="s">
        <v>29</v>
      </c>
      <c r="M851" t="s">
        <v>45</v>
      </c>
      <c r="N851" t="s">
        <v>81</v>
      </c>
      <c r="O851">
        <v>15.63</v>
      </c>
      <c r="P851">
        <v>56.43</v>
      </c>
      <c r="Q851">
        <v>17.29</v>
      </c>
      <c r="R851">
        <v>8.6300000000000008</v>
      </c>
      <c r="S851">
        <v>2.54</v>
      </c>
      <c r="T851">
        <v>6.82</v>
      </c>
      <c r="U851">
        <v>5.0199999999999996</v>
      </c>
      <c r="V851">
        <v>2.59</v>
      </c>
      <c r="W851">
        <v>35.049999999999997</v>
      </c>
      <c r="X851" t="s">
        <v>57</v>
      </c>
      <c r="Y851" t="s">
        <v>40</v>
      </c>
    </row>
    <row r="852" spans="1:25" x14ac:dyDescent="0.3">
      <c r="A852">
        <v>851</v>
      </c>
      <c r="B852" t="s">
        <v>262</v>
      </c>
      <c r="C852" t="s">
        <v>434</v>
      </c>
      <c r="D852" t="s">
        <v>54</v>
      </c>
      <c r="E852" t="s">
        <v>28</v>
      </c>
      <c r="F852">
        <v>4</v>
      </c>
      <c r="G852">
        <v>120</v>
      </c>
      <c r="H852">
        <v>480</v>
      </c>
      <c r="I852">
        <v>50</v>
      </c>
      <c r="J852">
        <v>200</v>
      </c>
      <c r="K852">
        <v>280</v>
      </c>
      <c r="L852" t="s">
        <v>29</v>
      </c>
      <c r="M852" t="s">
        <v>38</v>
      </c>
      <c r="N852" t="s">
        <v>31</v>
      </c>
      <c r="O852">
        <v>17.87</v>
      </c>
      <c r="P852">
        <v>20.11</v>
      </c>
      <c r="Q852">
        <v>11.55</v>
      </c>
      <c r="R852">
        <v>33.83</v>
      </c>
      <c r="S852">
        <v>4.5599999999999996</v>
      </c>
      <c r="T852">
        <v>7.16</v>
      </c>
      <c r="U852">
        <v>3.46</v>
      </c>
      <c r="V852">
        <v>1.08</v>
      </c>
      <c r="W852">
        <v>180.38</v>
      </c>
      <c r="X852" t="s">
        <v>32</v>
      </c>
      <c r="Y852" t="s">
        <v>40</v>
      </c>
    </row>
    <row r="853" spans="1:25" x14ac:dyDescent="0.3">
      <c r="A853">
        <v>852</v>
      </c>
      <c r="B853" t="s">
        <v>325</v>
      </c>
      <c r="C853" t="s">
        <v>549</v>
      </c>
      <c r="D853" t="s">
        <v>49</v>
      </c>
      <c r="E853" t="s">
        <v>50</v>
      </c>
      <c r="F853">
        <v>3</v>
      </c>
      <c r="G853">
        <v>180</v>
      </c>
      <c r="H853">
        <v>540</v>
      </c>
      <c r="I853">
        <v>90</v>
      </c>
      <c r="J853">
        <v>270</v>
      </c>
      <c r="K853">
        <v>270</v>
      </c>
      <c r="L853" t="s">
        <v>86</v>
      </c>
      <c r="M853" t="s">
        <v>63</v>
      </c>
      <c r="N853" t="s">
        <v>39</v>
      </c>
      <c r="O853">
        <v>33.56</v>
      </c>
      <c r="P853">
        <v>34.1</v>
      </c>
      <c r="Q853">
        <v>15.81</v>
      </c>
      <c r="R853">
        <v>19.79</v>
      </c>
      <c r="S853">
        <v>3.03</v>
      </c>
      <c r="T853">
        <v>12.56</v>
      </c>
      <c r="U853">
        <v>4.62</v>
      </c>
      <c r="V853">
        <v>2.92</v>
      </c>
      <c r="W853">
        <v>143.61000000000001</v>
      </c>
      <c r="X853" t="s">
        <v>66</v>
      </c>
      <c r="Y853" t="s">
        <v>40</v>
      </c>
    </row>
    <row r="854" spans="1:25" x14ac:dyDescent="0.3">
      <c r="A854">
        <v>853</v>
      </c>
      <c r="B854" t="s">
        <v>350</v>
      </c>
      <c r="C854" t="s">
        <v>528</v>
      </c>
      <c r="D854" t="s">
        <v>27</v>
      </c>
      <c r="E854" t="s">
        <v>28</v>
      </c>
      <c r="F854">
        <v>1</v>
      </c>
      <c r="G854">
        <v>200</v>
      </c>
      <c r="H854">
        <v>200</v>
      </c>
      <c r="I854">
        <v>90</v>
      </c>
      <c r="J854">
        <v>90</v>
      </c>
      <c r="K854">
        <v>110</v>
      </c>
      <c r="L854" t="s">
        <v>29</v>
      </c>
      <c r="M854" t="s">
        <v>38</v>
      </c>
      <c r="N854" t="s">
        <v>51</v>
      </c>
      <c r="O854">
        <v>22.49</v>
      </c>
      <c r="P854">
        <v>58.88</v>
      </c>
      <c r="Q854">
        <v>19.510000000000002</v>
      </c>
      <c r="R854">
        <v>31.67</v>
      </c>
      <c r="S854">
        <v>4.88</v>
      </c>
      <c r="T854">
        <v>5.58</v>
      </c>
      <c r="U854">
        <v>5.03</v>
      </c>
      <c r="V854">
        <v>2.0299999999999998</v>
      </c>
      <c r="W854">
        <v>-40.07</v>
      </c>
      <c r="X854" t="s">
        <v>57</v>
      </c>
      <c r="Y854" t="s">
        <v>40</v>
      </c>
    </row>
    <row r="855" spans="1:25" x14ac:dyDescent="0.3">
      <c r="A855">
        <v>854</v>
      </c>
      <c r="B855" t="s">
        <v>240</v>
      </c>
      <c r="C855" t="s">
        <v>508</v>
      </c>
      <c r="D855" t="s">
        <v>36</v>
      </c>
      <c r="E855" t="s">
        <v>28</v>
      </c>
      <c r="F855">
        <v>1</v>
      </c>
      <c r="G855">
        <v>220</v>
      </c>
      <c r="H855">
        <v>220</v>
      </c>
      <c r="I855">
        <v>100</v>
      </c>
      <c r="J855">
        <v>100</v>
      </c>
      <c r="K855">
        <v>120</v>
      </c>
      <c r="L855" t="s">
        <v>44</v>
      </c>
      <c r="M855" t="s">
        <v>38</v>
      </c>
      <c r="N855" t="s">
        <v>39</v>
      </c>
      <c r="O855">
        <v>24.83</v>
      </c>
      <c r="P855">
        <v>40.82</v>
      </c>
      <c r="Q855">
        <v>9.65</v>
      </c>
      <c r="R855">
        <v>10.66</v>
      </c>
      <c r="S855">
        <v>0.99</v>
      </c>
      <c r="T855">
        <v>7.72</v>
      </c>
      <c r="U855">
        <v>4.87</v>
      </c>
      <c r="V855">
        <v>0.38</v>
      </c>
      <c r="W855">
        <v>20.079999999999998</v>
      </c>
      <c r="X855" t="s">
        <v>32</v>
      </c>
      <c r="Y855" t="s">
        <v>33</v>
      </c>
    </row>
    <row r="856" spans="1:25" x14ac:dyDescent="0.3">
      <c r="A856">
        <v>855</v>
      </c>
      <c r="B856" t="s">
        <v>459</v>
      </c>
      <c r="C856" t="s">
        <v>183</v>
      </c>
      <c r="D856" t="s">
        <v>36</v>
      </c>
      <c r="E856" t="s">
        <v>28</v>
      </c>
      <c r="F856">
        <v>1</v>
      </c>
      <c r="G856">
        <v>220</v>
      </c>
      <c r="H856">
        <v>220</v>
      </c>
      <c r="I856">
        <v>100</v>
      </c>
      <c r="J856">
        <v>100</v>
      </c>
      <c r="K856">
        <v>120</v>
      </c>
      <c r="L856" t="s">
        <v>29</v>
      </c>
      <c r="M856" t="s">
        <v>56</v>
      </c>
      <c r="N856" t="s">
        <v>31</v>
      </c>
      <c r="O856">
        <v>33.01</v>
      </c>
      <c r="P856">
        <v>47.23</v>
      </c>
      <c r="Q856">
        <v>15.13</v>
      </c>
      <c r="R856">
        <v>26.15</v>
      </c>
      <c r="S856">
        <v>4.4000000000000004</v>
      </c>
      <c r="T856">
        <v>12.51</v>
      </c>
      <c r="U856">
        <v>5.8</v>
      </c>
      <c r="V856">
        <v>1.39</v>
      </c>
      <c r="W856">
        <v>-25.62</v>
      </c>
      <c r="X856" t="s">
        <v>66</v>
      </c>
      <c r="Y856" t="s">
        <v>33</v>
      </c>
    </row>
    <row r="857" spans="1:25" x14ac:dyDescent="0.3">
      <c r="A857">
        <v>856</v>
      </c>
      <c r="B857" t="s">
        <v>67</v>
      </c>
      <c r="C857" t="s">
        <v>361</v>
      </c>
      <c r="D857" t="s">
        <v>89</v>
      </c>
      <c r="E857" t="s">
        <v>28</v>
      </c>
      <c r="F857">
        <v>3</v>
      </c>
      <c r="G857">
        <v>180</v>
      </c>
      <c r="H857">
        <v>540</v>
      </c>
      <c r="I857">
        <v>75</v>
      </c>
      <c r="J857">
        <v>225</v>
      </c>
      <c r="K857">
        <v>315</v>
      </c>
      <c r="L857" t="s">
        <v>55</v>
      </c>
      <c r="M857" t="s">
        <v>56</v>
      </c>
      <c r="N857" t="s">
        <v>39</v>
      </c>
      <c r="O857">
        <v>16.91</v>
      </c>
      <c r="P857">
        <v>46.39</v>
      </c>
      <c r="Q857">
        <v>8.6</v>
      </c>
      <c r="R857">
        <v>20.82</v>
      </c>
      <c r="S857">
        <v>3.58</v>
      </c>
      <c r="T857">
        <v>5.61</v>
      </c>
      <c r="U857">
        <v>3.53</v>
      </c>
      <c r="V857">
        <v>2.69</v>
      </c>
      <c r="W857">
        <v>206.87</v>
      </c>
      <c r="X857" t="s">
        <v>66</v>
      </c>
      <c r="Y857" t="s">
        <v>40</v>
      </c>
    </row>
    <row r="858" spans="1:25" x14ac:dyDescent="0.3">
      <c r="A858">
        <v>857</v>
      </c>
      <c r="B858" t="s">
        <v>211</v>
      </c>
      <c r="C858" t="s">
        <v>142</v>
      </c>
      <c r="D858" t="s">
        <v>36</v>
      </c>
      <c r="E858" t="s">
        <v>28</v>
      </c>
      <c r="F858">
        <v>2</v>
      </c>
      <c r="G858">
        <v>220</v>
      </c>
      <c r="H858">
        <v>440</v>
      </c>
      <c r="I858">
        <v>100</v>
      </c>
      <c r="J858">
        <v>200</v>
      </c>
      <c r="K858">
        <v>240</v>
      </c>
      <c r="L858" t="s">
        <v>86</v>
      </c>
      <c r="M858" t="s">
        <v>38</v>
      </c>
      <c r="N858" t="s">
        <v>39</v>
      </c>
      <c r="O858">
        <v>24.6</v>
      </c>
      <c r="P858">
        <v>52.95</v>
      </c>
      <c r="Q858">
        <v>11.51</v>
      </c>
      <c r="R858">
        <v>4.54</v>
      </c>
      <c r="S858">
        <v>0.5</v>
      </c>
      <c r="T858">
        <v>6.21</v>
      </c>
      <c r="U858">
        <v>4.87</v>
      </c>
      <c r="V858">
        <v>2.64</v>
      </c>
      <c r="W858">
        <v>132.18</v>
      </c>
      <c r="X858" t="s">
        <v>32</v>
      </c>
      <c r="Y858" t="s">
        <v>40</v>
      </c>
    </row>
    <row r="859" spans="1:25" x14ac:dyDescent="0.3">
      <c r="A859">
        <v>858</v>
      </c>
      <c r="B859" t="s">
        <v>502</v>
      </c>
      <c r="C859" t="s">
        <v>377</v>
      </c>
      <c r="D859" t="s">
        <v>109</v>
      </c>
      <c r="E859" t="s">
        <v>50</v>
      </c>
      <c r="F859">
        <v>4</v>
      </c>
      <c r="G859">
        <v>150</v>
      </c>
      <c r="H859">
        <v>600</v>
      </c>
      <c r="I859">
        <v>70</v>
      </c>
      <c r="J859">
        <v>280</v>
      </c>
      <c r="K859">
        <v>320</v>
      </c>
      <c r="L859" t="s">
        <v>86</v>
      </c>
      <c r="M859" t="s">
        <v>45</v>
      </c>
      <c r="N859" t="s">
        <v>51</v>
      </c>
      <c r="O859">
        <v>26.54</v>
      </c>
      <c r="P859">
        <v>43.74</v>
      </c>
      <c r="Q859">
        <v>10.15</v>
      </c>
      <c r="R859">
        <v>2.85</v>
      </c>
      <c r="S859">
        <v>1.6</v>
      </c>
      <c r="T859">
        <v>6.87</v>
      </c>
      <c r="U859">
        <v>4.51</v>
      </c>
      <c r="V859">
        <v>2.41</v>
      </c>
      <c r="W859">
        <v>221.33</v>
      </c>
      <c r="X859" t="s">
        <v>57</v>
      </c>
      <c r="Y859" t="s">
        <v>33</v>
      </c>
    </row>
    <row r="860" spans="1:25" x14ac:dyDescent="0.3">
      <c r="A860">
        <v>859</v>
      </c>
      <c r="B860" t="s">
        <v>123</v>
      </c>
      <c r="C860" t="s">
        <v>400</v>
      </c>
      <c r="D860" t="s">
        <v>89</v>
      </c>
      <c r="E860" t="s">
        <v>28</v>
      </c>
      <c r="F860">
        <v>1</v>
      </c>
      <c r="G860">
        <v>180</v>
      </c>
      <c r="H860">
        <v>180</v>
      </c>
      <c r="I860">
        <v>75</v>
      </c>
      <c r="J860">
        <v>75</v>
      </c>
      <c r="K860">
        <v>105</v>
      </c>
      <c r="L860" t="s">
        <v>86</v>
      </c>
      <c r="M860" t="s">
        <v>63</v>
      </c>
      <c r="N860" t="s">
        <v>39</v>
      </c>
      <c r="O860">
        <v>17.54</v>
      </c>
      <c r="P860">
        <v>36.57</v>
      </c>
      <c r="Q860">
        <v>12.21</v>
      </c>
      <c r="R860">
        <v>17.100000000000001</v>
      </c>
      <c r="S860">
        <v>3.36</v>
      </c>
      <c r="T860">
        <v>12.99</v>
      </c>
      <c r="U860">
        <v>6.57</v>
      </c>
      <c r="V860">
        <v>0.45</v>
      </c>
      <c r="W860">
        <v>-1.79</v>
      </c>
      <c r="X860" t="s">
        <v>32</v>
      </c>
      <c r="Y860" t="s">
        <v>40</v>
      </c>
    </row>
    <row r="861" spans="1:25" x14ac:dyDescent="0.3">
      <c r="A861">
        <v>860</v>
      </c>
      <c r="B861" t="s">
        <v>214</v>
      </c>
      <c r="C861" t="s">
        <v>185</v>
      </c>
      <c r="D861" t="s">
        <v>54</v>
      </c>
      <c r="E861" t="s">
        <v>28</v>
      </c>
      <c r="F861">
        <v>1</v>
      </c>
      <c r="G861">
        <v>120</v>
      </c>
      <c r="H861">
        <v>120</v>
      </c>
      <c r="I861">
        <v>50</v>
      </c>
      <c r="J861">
        <v>50</v>
      </c>
      <c r="K861">
        <v>70</v>
      </c>
      <c r="L861" t="s">
        <v>86</v>
      </c>
      <c r="M861" t="s">
        <v>38</v>
      </c>
      <c r="N861" t="s">
        <v>46</v>
      </c>
      <c r="O861">
        <v>37.700000000000003</v>
      </c>
      <c r="P861">
        <v>57.81</v>
      </c>
      <c r="Q861">
        <v>19.3</v>
      </c>
      <c r="R861">
        <v>24.92</v>
      </c>
      <c r="S861">
        <v>2.85</v>
      </c>
      <c r="T861">
        <v>3.55</v>
      </c>
      <c r="U861">
        <v>7.34</v>
      </c>
      <c r="V861">
        <v>2.19</v>
      </c>
      <c r="W861">
        <v>-85.66</v>
      </c>
      <c r="X861" t="s">
        <v>32</v>
      </c>
      <c r="Y861" t="s">
        <v>40</v>
      </c>
    </row>
    <row r="862" spans="1:25" x14ac:dyDescent="0.3">
      <c r="A862">
        <v>861</v>
      </c>
      <c r="B862" t="s">
        <v>195</v>
      </c>
      <c r="C862" t="s">
        <v>259</v>
      </c>
      <c r="D862" t="s">
        <v>49</v>
      </c>
      <c r="E862" t="s">
        <v>50</v>
      </c>
      <c r="F862">
        <v>2</v>
      </c>
      <c r="G862">
        <v>180</v>
      </c>
      <c r="H862">
        <v>360</v>
      </c>
      <c r="I862">
        <v>90</v>
      </c>
      <c r="J862">
        <v>180</v>
      </c>
      <c r="K862">
        <v>180</v>
      </c>
      <c r="L862" t="s">
        <v>55</v>
      </c>
      <c r="M862" t="s">
        <v>38</v>
      </c>
      <c r="N862" t="s">
        <v>39</v>
      </c>
      <c r="O862">
        <v>35.96</v>
      </c>
      <c r="P862">
        <v>18.55</v>
      </c>
      <c r="Q862">
        <v>13.8</v>
      </c>
      <c r="R862">
        <v>5.0999999999999996</v>
      </c>
      <c r="S862">
        <v>0.71</v>
      </c>
      <c r="T862">
        <v>10.59</v>
      </c>
      <c r="U862">
        <v>2.81</v>
      </c>
      <c r="V862">
        <v>2.35</v>
      </c>
      <c r="W862">
        <v>90.13</v>
      </c>
      <c r="X862" t="s">
        <v>32</v>
      </c>
      <c r="Y862" t="s">
        <v>40</v>
      </c>
    </row>
    <row r="863" spans="1:25" x14ac:dyDescent="0.3">
      <c r="A863">
        <v>862</v>
      </c>
      <c r="B863" t="s">
        <v>188</v>
      </c>
      <c r="C863" t="s">
        <v>399</v>
      </c>
      <c r="D863" t="s">
        <v>109</v>
      </c>
      <c r="E863" t="s">
        <v>50</v>
      </c>
      <c r="F863">
        <v>3</v>
      </c>
      <c r="G863">
        <v>150</v>
      </c>
      <c r="H863">
        <v>450</v>
      </c>
      <c r="I863">
        <v>70</v>
      </c>
      <c r="J863">
        <v>210</v>
      </c>
      <c r="K863">
        <v>240</v>
      </c>
      <c r="L863" t="s">
        <v>29</v>
      </c>
      <c r="M863" t="s">
        <v>56</v>
      </c>
      <c r="N863" t="s">
        <v>51</v>
      </c>
      <c r="O863">
        <v>21.42</v>
      </c>
      <c r="P863">
        <v>54.34</v>
      </c>
      <c r="Q863">
        <v>16.670000000000002</v>
      </c>
      <c r="R863">
        <v>17.57</v>
      </c>
      <c r="S863">
        <v>4.97</v>
      </c>
      <c r="T863">
        <v>9.52</v>
      </c>
      <c r="U863">
        <v>3.52</v>
      </c>
      <c r="V863">
        <v>0.65</v>
      </c>
      <c r="W863">
        <v>111.34</v>
      </c>
      <c r="X863" t="s">
        <v>57</v>
      </c>
      <c r="Y863" t="s">
        <v>40</v>
      </c>
    </row>
    <row r="864" spans="1:25" x14ac:dyDescent="0.3">
      <c r="A864">
        <v>863</v>
      </c>
      <c r="B864" t="s">
        <v>229</v>
      </c>
      <c r="C864" t="s">
        <v>184</v>
      </c>
      <c r="D864" t="s">
        <v>89</v>
      </c>
      <c r="E864" t="s">
        <v>28</v>
      </c>
      <c r="F864">
        <v>1</v>
      </c>
      <c r="G864">
        <v>180</v>
      </c>
      <c r="H864">
        <v>180</v>
      </c>
      <c r="I864">
        <v>75</v>
      </c>
      <c r="J864">
        <v>75</v>
      </c>
      <c r="K864">
        <v>105</v>
      </c>
      <c r="L864" t="s">
        <v>29</v>
      </c>
      <c r="M864" t="s">
        <v>45</v>
      </c>
      <c r="N864" t="s">
        <v>31</v>
      </c>
      <c r="O864">
        <v>20.7</v>
      </c>
      <c r="P864">
        <v>53.61</v>
      </c>
      <c r="Q864">
        <v>12.1</v>
      </c>
      <c r="R864">
        <v>31.55</v>
      </c>
      <c r="S864">
        <v>2.46</v>
      </c>
      <c r="T864">
        <v>9.44</v>
      </c>
      <c r="U864">
        <v>3.91</v>
      </c>
      <c r="V864">
        <v>1.71</v>
      </c>
      <c r="W864">
        <v>-30.48</v>
      </c>
      <c r="X864" t="s">
        <v>66</v>
      </c>
      <c r="Y864" t="s">
        <v>40</v>
      </c>
    </row>
    <row r="865" spans="1:25" x14ac:dyDescent="0.3">
      <c r="A865">
        <v>864</v>
      </c>
      <c r="B865" t="s">
        <v>107</v>
      </c>
      <c r="C865" t="s">
        <v>392</v>
      </c>
      <c r="D865" t="s">
        <v>54</v>
      </c>
      <c r="E865" t="s">
        <v>28</v>
      </c>
      <c r="F865">
        <v>4</v>
      </c>
      <c r="G865">
        <v>120</v>
      </c>
      <c r="H865">
        <v>480</v>
      </c>
      <c r="I865">
        <v>50</v>
      </c>
      <c r="J865">
        <v>200</v>
      </c>
      <c r="K865">
        <v>280</v>
      </c>
      <c r="L865" t="s">
        <v>86</v>
      </c>
      <c r="M865" t="s">
        <v>56</v>
      </c>
      <c r="N865" t="s">
        <v>51</v>
      </c>
      <c r="O865">
        <v>22.41</v>
      </c>
      <c r="P865">
        <v>49.75</v>
      </c>
      <c r="Q865">
        <v>18.510000000000002</v>
      </c>
      <c r="R865">
        <v>21.17</v>
      </c>
      <c r="S865">
        <v>2.16</v>
      </c>
      <c r="T865">
        <v>2.52</v>
      </c>
      <c r="U865">
        <v>7.27</v>
      </c>
      <c r="V865">
        <v>1.44</v>
      </c>
      <c r="W865">
        <v>154.77000000000001</v>
      </c>
      <c r="X865" t="s">
        <v>57</v>
      </c>
      <c r="Y865" t="s">
        <v>40</v>
      </c>
    </row>
    <row r="866" spans="1:25" x14ac:dyDescent="0.3">
      <c r="A866">
        <v>865</v>
      </c>
      <c r="B866" t="s">
        <v>91</v>
      </c>
      <c r="C866" t="s">
        <v>435</v>
      </c>
      <c r="D866" t="s">
        <v>27</v>
      </c>
      <c r="E866" t="s">
        <v>28</v>
      </c>
      <c r="F866">
        <v>3</v>
      </c>
      <c r="G866">
        <v>200</v>
      </c>
      <c r="H866">
        <v>600</v>
      </c>
      <c r="I866">
        <v>90</v>
      </c>
      <c r="J866">
        <v>270</v>
      </c>
      <c r="K866">
        <v>330</v>
      </c>
      <c r="L866" t="s">
        <v>37</v>
      </c>
      <c r="M866" t="s">
        <v>63</v>
      </c>
      <c r="N866" t="s">
        <v>46</v>
      </c>
      <c r="O866">
        <v>23.7</v>
      </c>
      <c r="P866">
        <v>24.18</v>
      </c>
      <c r="Q866">
        <v>5.99</v>
      </c>
      <c r="R866">
        <v>10.14</v>
      </c>
      <c r="S866">
        <v>3.33</v>
      </c>
      <c r="T866">
        <v>3.57</v>
      </c>
      <c r="U866">
        <v>4.17</v>
      </c>
      <c r="V866">
        <v>1.1299999999999999</v>
      </c>
      <c r="W866">
        <v>253.79</v>
      </c>
      <c r="X866" t="s">
        <v>66</v>
      </c>
      <c r="Y866" t="s">
        <v>33</v>
      </c>
    </row>
    <row r="867" spans="1:25" x14ac:dyDescent="0.3">
      <c r="A867">
        <v>866</v>
      </c>
      <c r="B867" t="s">
        <v>180</v>
      </c>
      <c r="C867" t="s">
        <v>275</v>
      </c>
      <c r="D867" t="s">
        <v>89</v>
      </c>
      <c r="E867" t="s">
        <v>28</v>
      </c>
      <c r="F867">
        <v>4</v>
      </c>
      <c r="G867">
        <v>180</v>
      </c>
      <c r="H867">
        <v>720</v>
      </c>
      <c r="I867">
        <v>75</v>
      </c>
      <c r="J867">
        <v>300</v>
      </c>
      <c r="K867">
        <v>420</v>
      </c>
      <c r="L867" t="s">
        <v>55</v>
      </c>
      <c r="M867" t="s">
        <v>56</v>
      </c>
      <c r="N867" t="s">
        <v>81</v>
      </c>
      <c r="O867">
        <v>26.49</v>
      </c>
      <c r="P867">
        <v>31.57</v>
      </c>
      <c r="Q867">
        <v>19.95</v>
      </c>
      <c r="R867">
        <v>8.49</v>
      </c>
      <c r="S867">
        <v>1.97</v>
      </c>
      <c r="T867">
        <v>9.41</v>
      </c>
      <c r="U867">
        <v>1.55</v>
      </c>
      <c r="V867">
        <v>2.4500000000000002</v>
      </c>
      <c r="W867">
        <v>318.12</v>
      </c>
      <c r="X867" t="s">
        <v>66</v>
      </c>
      <c r="Y867" t="s">
        <v>40</v>
      </c>
    </row>
    <row r="868" spans="1:25" x14ac:dyDescent="0.3">
      <c r="A868">
        <v>867</v>
      </c>
      <c r="B868" t="s">
        <v>123</v>
      </c>
      <c r="C868" t="s">
        <v>321</v>
      </c>
      <c r="D868" t="s">
        <v>36</v>
      </c>
      <c r="E868" t="s">
        <v>28</v>
      </c>
      <c r="F868">
        <v>4</v>
      </c>
      <c r="G868">
        <v>220</v>
      </c>
      <c r="H868">
        <v>880</v>
      </c>
      <c r="I868">
        <v>100</v>
      </c>
      <c r="J868">
        <v>400</v>
      </c>
      <c r="K868">
        <v>480</v>
      </c>
      <c r="L868" t="s">
        <v>55</v>
      </c>
      <c r="M868" t="s">
        <v>63</v>
      </c>
      <c r="N868" t="s">
        <v>90</v>
      </c>
      <c r="O868">
        <v>20.16</v>
      </c>
      <c r="P868">
        <v>54.04</v>
      </c>
      <c r="Q868">
        <v>7.1</v>
      </c>
      <c r="R868">
        <v>9.61</v>
      </c>
      <c r="S868">
        <v>1.42</v>
      </c>
      <c r="T868">
        <v>8.32</v>
      </c>
      <c r="U868">
        <v>5.0999999999999996</v>
      </c>
      <c r="V868">
        <v>2.34</v>
      </c>
      <c r="W868">
        <v>371.91</v>
      </c>
      <c r="X868" t="s">
        <v>57</v>
      </c>
      <c r="Y868" t="s">
        <v>33</v>
      </c>
    </row>
    <row r="869" spans="1:25" x14ac:dyDescent="0.3">
      <c r="A869">
        <v>868</v>
      </c>
      <c r="B869" t="s">
        <v>421</v>
      </c>
      <c r="C869" t="s">
        <v>553</v>
      </c>
      <c r="D869" t="s">
        <v>54</v>
      </c>
      <c r="E869" t="s">
        <v>28</v>
      </c>
      <c r="F869">
        <v>1</v>
      </c>
      <c r="G869">
        <v>120</v>
      </c>
      <c r="H869">
        <v>120</v>
      </c>
      <c r="I869">
        <v>50</v>
      </c>
      <c r="J869">
        <v>50</v>
      </c>
      <c r="K869">
        <v>70</v>
      </c>
      <c r="L869" t="s">
        <v>86</v>
      </c>
      <c r="M869" t="s">
        <v>56</v>
      </c>
      <c r="N869" t="s">
        <v>51</v>
      </c>
      <c r="O869">
        <v>33.56</v>
      </c>
      <c r="P869">
        <v>38.14</v>
      </c>
      <c r="Q869">
        <v>19.13</v>
      </c>
      <c r="R869">
        <v>27.77</v>
      </c>
      <c r="S869">
        <v>3.95</v>
      </c>
      <c r="T869">
        <v>11.04</v>
      </c>
      <c r="U869">
        <v>2.41</v>
      </c>
      <c r="V869">
        <v>1.01</v>
      </c>
      <c r="W869">
        <v>-67.010000000000005</v>
      </c>
      <c r="X869" t="s">
        <v>57</v>
      </c>
      <c r="Y869" t="s">
        <v>33</v>
      </c>
    </row>
    <row r="870" spans="1:25" x14ac:dyDescent="0.3">
      <c r="A870">
        <v>869</v>
      </c>
      <c r="B870" t="s">
        <v>198</v>
      </c>
      <c r="C870" t="s">
        <v>326</v>
      </c>
      <c r="D870" t="s">
        <v>43</v>
      </c>
      <c r="E870" t="s">
        <v>43</v>
      </c>
      <c r="F870">
        <v>4</v>
      </c>
      <c r="G870">
        <v>80</v>
      </c>
      <c r="H870">
        <v>320</v>
      </c>
      <c r="I870">
        <v>30</v>
      </c>
      <c r="J870">
        <v>120</v>
      </c>
      <c r="K870">
        <v>200</v>
      </c>
      <c r="L870" t="s">
        <v>86</v>
      </c>
      <c r="M870" t="s">
        <v>63</v>
      </c>
      <c r="N870" t="s">
        <v>81</v>
      </c>
      <c r="O870">
        <v>22.66</v>
      </c>
      <c r="P870">
        <v>34.47</v>
      </c>
      <c r="Q870">
        <v>9.34</v>
      </c>
      <c r="R870">
        <v>31.86</v>
      </c>
      <c r="S870">
        <v>1.33</v>
      </c>
      <c r="T870">
        <v>6.9</v>
      </c>
      <c r="U870">
        <v>5.86</v>
      </c>
      <c r="V870">
        <v>1.18</v>
      </c>
      <c r="W870">
        <v>86.4</v>
      </c>
      <c r="X870" t="s">
        <v>32</v>
      </c>
      <c r="Y870" t="s">
        <v>40</v>
      </c>
    </row>
    <row r="871" spans="1:25" x14ac:dyDescent="0.3">
      <c r="A871">
        <v>870</v>
      </c>
      <c r="B871" t="s">
        <v>513</v>
      </c>
      <c r="C871" t="s">
        <v>116</v>
      </c>
      <c r="D871" t="s">
        <v>109</v>
      </c>
      <c r="E871" t="s">
        <v>50</v>
      </c>
      <c r="F871">
        <v>1</v>
      </c>
      <c r="G871">
        <v>150</v>
      </c>
      <c r="H871">
        <v>150</v>
      </c>
      <c r="I871">
        <v>70</v>
      </c>
      <c r="J871">
        <v>70</v>
      </c>
      <c r="K871">
        <v>80</v>
      </c>
      <c r="L871" t="s">
        <v>44</v>
      </c>
      <c r="M871" t="s">
        <v>56</v>
      </c>
      <c r="N871" t="s">
        <v>39</v>
      </c>
      <c r="O871">
        <v>35.94</v>
      </c>
      <c r="P871">
        <v>24.74</v>
      </c>
      <c r="Q871">
        <v>15.81</v>
      </c>
      <c r="R871">
        <v>24.21</v>
      </c>
      <c r="S871">
        <v>0.74</v>
      </c>
      <c r="T871">
        <v>6.47</v>
      </c>
      <c r="U871">
        <v>6.16</v>
      </c>
      <c r="V871">
        <v>1.7</v>
      </c>
      <c r="W871">
        <v>-35.770000000000003</v>
      </c>
      <c r="X871" t="s">
        <v>57</v>
      </c>
      <c r="Y871" t="s">
        <v>40</v>
      </c>
    </row>
    <row r="872" spans="1:25" x14ac:dyDescent="0.3">
      <c r="A872">
        <v>871</v>
      </c>
      <c r="B872" t="s">
        <v>488</v>
      </c>
      <c r="C872" t="s">
        <v>173</v>
      </c>
      <c r="D872" t="s">
        <v>49</v>
      </c>
      <c r="E872" t="s">
        <v>50</v>
      </c>
      <c r="F872">
        <v>4</v>
      </c>
      <c r="G872">
        <v>180</v>
      </c>
      <c r="H872">
        <v>720</v>
      </c>
      <c r="I872">
        <v>90</v>
      </c>
      <c r="J872">
        <v>360</v>
      </c>
      <c r="K872">
        <v>360</v>
      </c>
      <c r="L872" t="s">
        <v>29</v>
      </c>
      <c r="M872" t="s">
        <v>56</v>
      </c>
      <c r="N872" t="s">
        <v>39</v>
      </c>
      <c r="O872">
        <v>36.01</v>
      </c>
      <c r="P872">
        <v>56.77</v>
      </c>
      <c r="Q872">
        <v>16.14</v>
      </c>
      <c r="R872">
        <v>26.16</v>
      </c>
      <c r="S872">
        <v>3.1</v>
      </c>
      <c r="T872">
        <v>7.34</v>
      </c>
      <c r="U872">
        <v>8</v>
      </c>
      <c r="V872">
        <v>2.93</v>
      </c>
      <c r="W872">
        <v>203.55</v>
      </c>
      <c r="X872" t="s">
        <v>66</v>
      </c>
      <c r="Y872" t="s">
        <v>33</v>
      </c>
    </row>
    <row r="873" spans="1:25" x14ac:dyDescent="0.3">
      <c r="A873">
        <v>872</v>
      </c>
      <c r="B873" t="s">
        <v>245</v>
      </c>
      <c r="C873" t="s">
        <v>255</v>
      </c>
      <c r="D873" t="s">
        <v>54</v>
      </c>
      <c r="E873" t="s">
        <v>28</v>
      </c>
      <c r="F873">
        <v>3</v>
      </c>
      <c r="G873">
        <v>120</v>
      </c>
      <c r="H873">
        <v>360</v>
      </c>
      <c r="I873">
        <v>50</v>
      </c>
      <c r="J873">
        <v>150</v>
      </c>
      <c r="K873">
        <v>210</v>
      </c>
      <c r="L873" t="s">
        <v>44</v>
      </c>
      <c r="M873" t="s">
        <v>30</v>
      </c>
      <c r="N873" t="s">
        <v>46</v>
      </c>
      <c r="O873">
        <v>28.49</v>
      </c>
      <c r="P873">
        <v>39.200000000000003</v>
      </c>
      <c r="Q873">
        <v>9.08</v>
      </c>
      <c r="R873">
        <v>31.65</v>
      </c>
      <c r="S873">
        <v>2.85</v>
      </c>
      <c r="T873">
        <v>12.64</v>
      </c>
      <c r="U873">
        <v>4.54</v>
      </c>
      <c r="V873">
        <v>0.28999999999999998</v>
      </c>
      <c r="W873">
        <v>81.260000000000005</v>
      </c>
      <c r="X873" t="s">
        <v>32</v>
      </c>
      <c r="Y873" t="s">
        <v>33</v>
      </c>
    </row>
    <row r="874" spans="1:25" x14ac:dyDescent="0.3">
      <c r="A874">
        <v>873</v>
      </c>
      <c r="B874" t="s">
        <v>518</v>
      </c>
      <c r="C874" t="s">
        <v>543</v>
      </c>
      <c r="D874" t="s">
        <v>62</v>
      </c>
      <c r="E874" t="s">
        <v>28</v>
      </c>
      <c r="F874">
        <v>1</v>
      </c>
      <c r="G874">
        <v>250</v>
      </c>
      <c r="H874">
        <v>250</v>
      </c>
      <c r="I874">
        <v>110</v>
      </c>
      <c r="J874">
        <v>110</v>
      </c>
      <c r="K874">
        <v>140</v>
      </c>
      <c r="L874" t="s">
        <v>44</v>
      </c>
      <c r="M874" t="s">
        <v>63</v>
      </c>
      <c r="N874" t="s">
        <v>51</v>
      </c>
      <c r="O874">
        <v>20.89</v>
      </c>
      <c r="P874">
        <v>32.840000000000003</v>
      </c>
      <c r="Q874">
        <v>12.86</v>
      </c>
      <c r="R874">
        <v>28.53</v>
      </c>
      <c r="S874">
        <v>0.18</v>
      </c>
      <c r="T874">
        <v>8.93</v>
      </c>
      <c r="U874">
        <v>2.96</v>
      </c>
      <c r="V874">
        <v>1.87</v>
      </c>
      <c r="W874">
        <v>30.94</v>
      </c>
      <c r="X874" t="s">
        <v>66</v>
      </c>
      <c r="Y874" t="s">
        <v>33</v>
      </c>
    </row>
    <row r="875" spans="1:25" x14ac:dyDescent="0.3">
      <c r="A875">
        <v>874</v>
      </c>
      <c r="B875" t="s">
        <v>404</v>
      </c>
      <c r="C875" t="s">
        <v>402</v>
      </c>
      <c r="D875" t="s">
        <v>109</v>
      </c>
      <c r="E875" t="s">
        <v>50</v>
      </c>
      <c r="F875">
        <v>3</v>
      </c>
      <c r="G875">
        <v>150</v>
      </c>
      <c r="H875">
        <v>450</v>
      </c>
      <c r="I875">
        <v>70</v>
      </c>
      <c r="J875">
        <v>210</v>
      </c>
      <c r="K875">
        <v>240</v>
      </c>
      <c r="L875" t="s">
        <v>55</v>
      </c>
      <c r="M875" t="s">
        <v>38</v>
      </c>
      <c r="N875" t="s">
        <v>46</v>
      </c>
      <c r="O875">
        <v>14.95</v>
      </c>
      <c r="P875">
        <v>44.06</v>
      </c>
      <c r="Q875">
        <v>13.96</v>
      </c>
      <c r="R875">
        <v>22.71</v>
      </c>
      <c r="S875">
        <v>1.83</v>
      </c>
      <c r="T875">
        <v>13.3</v>
      </c>
      <c r="U875">
        <v>2.09</v>
      </c>
      <c r="V875">
        <v>2.66</v>
      </c>
      <c r="W875">
        <v>124.44</v>
      </c>
      <c r="X875" t="s">
        <v>57</v>
      </c>
      <c r="Y875" t="s">
        <v>33</v>
      </c>
    </row>
    <row r="876" spans="1:25" x14ac:dyDescent="0.3">
      <c r="A876">
        <v>875</v>
      </c>
      <c r="B876" t="s">
        <v>236</v>
      </c>
      <c r="C876" t="s">
        <v>481</v>
      </c>
      <c r="D876" t="s">
        <v>54</v>
      </c>
      <c r="E876" t="s">
        <v>28</v>
      </c>
      <c r="F876">
        <v>1</v>
      </c>
      <c r="G876">
        <v>120</v>
      </c>
      <c r="H876">
        <v>120</v>
      </c>
      <c r="I876">
        <v>50</v>
      </c>
      <c r="J876">
        <v>50</v>
      </c>
      <c r="K876">
        <v>70</v>
      </c>
      <c r="L876" t="s">
        <v>55</v>
      </c>
      <c r="M876" t="s">
        <v>30</v>
      </c>
      <c r="N876" t="s">
        <v>31</v>
      </c>
      <c r="O876">
        <v>26.5</v>
      </c>
      <c r="P876">
        <v>17.62</v>
      </c>
      <c r="Q876">
        <v>19.75</v>
      </c>
      <c r="R876">
        <v>13.08</v>
      </c>
      <c r="S876">
        <v>3.96</v>
      </c>
      <c r="T876">
        <v>2.16</v>
      </c>
      <c r="U876">
        <v>7.52</v>
      </c>
      <c r="V876">
        <v>1.51</v>
      </c>
      <c r="W876">
        <v>-22.1</v>
      </c>
      <c r="X876" t="s">
        <v>57</v>
      </c>
      <c r="Y876" t="s">
        <v>33</v>
      </c>
    </row>
    <row r="877" spans="1:25" x14ac:dyDescent="0.3">
      <c r="A877">
        <v>876</v>
      </c>
      <c r="B877" t="s">
        <v>320</v>
      </c>
      <c r="C877" t="s">
        <v>487</v>
      </c>
      <c r="D877" t="s">
        <v>49</v>
      </c>
      <c r="E877" t="s">
        <v>50</v>
      </c>
      <c r="F877">
        <v>1</v>
      </c>
      <c r="G877">
        <v>180</v>
      </c>
      <c r="H877">
        <v>180</v>
      </c>
      <c r="I877">
        <v>90</v>
      </c>
      <c r="J877">
        <v>90</v>
      </c>
      <c r="K877">
        <v>90</v>
      </c>
      <c r="L877" t="s">
        <v>29</v>
      </c>
      <c r="M877" t="s">
        <v>56</v>
      </c>
      <c r="N877" t="s">
        <v>81</v>
      </c>
      <c r="O877">
        <v>26.26</v>
      </c>
      <c r="P877">
        <v>17.8</v>
      </c>
      <c r="Q877">
        <v>9.08</v>
      </c>
      <c r="R877">
        <v>2.54</v>
      </c>
      <c r="S877">
        <v>4.88</v>
      </c>
      <c r="T877">
        <v>3.83</v>
      </c>
      <c r="U877">
        <v>6.09</v>
      </c>
      <c r="V877">
        <v>3</v>
      </c>
      <c r="W877">
        <v>16.52</v>
      </c>
      <c r="X877" t="s">
        <v>57</v>
      </c>
      <c r="Y877" t="s">
        <v>33</v>
      </c>
    </row>
    <row r="878" spans="1:25" x14ac:dyDescent="0.3">
      <c r="A878">
        <v>877</v>
      </c>
      <c r="B878" t="s">
        <v>152</v>
      </c>
      <c r="C878" t="s">
        <v>362</v>
      </c>
      <c r="D878" t="s">
        <v>43</v>
      </c>
      <c r="E878" t="s">
        <v>43</v>
      </c>
      <c r="F878">
        <v>1</v>
      </c>
      <c r="G878">
        <v>80</v>
      </c>
      <c r="H878">
        <v>80</v>
      </c>
      <c r="I878">
        <v>30</v>
      </c>
      <c r="J878">
        <v>30</v>
      </c>
      <c r="K878">
        <v>50</v>
      </c>
      <c r="L878" t="s">
        <v>44</v>
      </c>
      <c r="M878" t="s">
        <v>30</v>
      </c>
      <c r="N878" t="s">
        <v>31</v>
      </c>
      <c r="O878">
        <v>27.37</v>
      </c>
      <c r="P878">
        <v>39.35</v>
      </c>
      <c r="Q878">
        <v>18.3</v>
      </c>
      <c r="R878">
        <v>20.27</v>
      </c>
      <c r="S878">
        <v>1.72</v>
      </c>
      <c r="T878">
        <v>10.88</v>
      </c>
      <c r="U878">
        <v>4.8</v>
      </c>
      <c r="V878">
        <v>2.6</v>
      </c>
      <c r="W878">
        <v>-75.290000000000006</v>
      </c>
      <c r="X878" t="s">
        <v>66</v>
      </c>
      <c r="Y878" t="s">
        <v>40</v>
      </c>
    </row>
    <row r="879" spans="1:25" x14ac:dyDescent="0.3">
      <c r="A879">
        <v>878</v>
      </c>
      <c r="B879" t="s">
        <v>253</v>
      </c>
      <c r="C879" t="s">
        <v>261</v>
      </c>
      <c r="D879" t="s">
        <v>109</v>
      </c>
      <c r="E879" t="s">
        <v>50</v>
      </c>
      <c r="F879">
        <v>4</v>
      </c>
      <c r="G879">
        <v>150</v>
      </c>
      <c r="H879">
        <v>600</v>
      </c>
      <c r="I879">
        <v>70</v>
      </c>
      <c r="J879">
        <v>280</v>
      </c>
      <c r="K879">
        <v>320</v>
      </c>
      <c r="L879" t="s">
        <v>86</v>
      </c>
      <c r="M879" t="s">
        <v>63</v>
      </c>
      <c r="N879" t="s">
        <v>90</v>
      </c>
      <c r="O879">
        <v>12.96</v>
      </c>
      <c r="P879">
        <v>36.479999999999997</v>
      </c>
      <c r="Q879">
        <v>9.9700000000000006</v>
      </c>
      <c r="R879">
        <v>32.46</v>
      </c>
      <c r="S879">
        <v>3.06</v>
      </c>
      <c r="T879">
        <v>5.01</v>
      </c>
      <c r="U879">
        <v>1.04</v>
      </c>
      <c r="V879">
        <v>2.39</v>
      </c>
      <c r="W879">
        <v>216.63</v>
      </c>
      <c r="X879" t="s">
        <v>32</v>
      </c>
      <c r="Y879" t="s">
        <v>33</v>
      </c>
    </row>
    <row r="880" spans="1:25" x14ac:dyDescent="0.3">
      <c r="A880">
        <v>879</v>
      </c>
      <c r="B880" t="s">
        <v>77</v>
      </c>
      <c r="C880" t="s">
        <v>369</v>
      </c>
      <c r="D880" t="s">
        <v>109</v>
      </c>
      <c r="E880" t="s">
        <v>50</v>
      </c>
      <c r="F880">
        <v>1</v>
      </c>
      <c r="G880">
        <v>150</v>
      </c>
      <c r="H880">
        <v>150</v>
      </c>
      <c r="I880">
        <v>70</v>
      </c>
      <c r="J880">
        <v>70</v>
      </c>
      <c r="K880">
        <v>80</v>
      </c>
      <c r="L880" t="s">
        <v>55</v>
      </c>
      <c r="M880" t="s">
        <v>30</v>
      </c>
      <c r="N880" t="s">
        <v>81</v>
      </c>
      <c r="O880">
        <v>29.76</v>
      </c>
      <c r="P880">
        <v>57.15</v>
      </c>
      <c r="Q880">
        <v>7.77</v>
      </c>
      <c r="R880">
        <v>23.86</v>
      </c>
      <c r="S880">
        <v>4.2300000000000004</v>
      </c>
      <c r="T880">
        <v>14.62</v>
      </c>
      <c r="U880">
        <v>3.71</v>
      </c>
      <c r="V880">
        <v>0.7</v>
      </c>
      <c r="W880">
        <v>-61.8</v>
      </c>
      <c r="X880" t="s">
        <v>57</v>
      </c>
      <c r="Y880" t="s">
        <v>40</v>
      </c>
    </row>
    <row r="881" spans="1:25" x14ac:dyDescent="0.3">
      <c r="A881">
        <v>880</v>
      </c>
      <c r="B881" t="s">
        <v>105</v>
      </c>
      <c r="C881" t="s">
        <v>102</v>
      </c>
      <c r="D881" t="s">
        <v>109</v>
      </c>
      <c r="E881" t="s">
        <v>50</v>
      </c>
      <c r="F881">
        <v>3</v>
      </c>
      <c r="G881">
        <v>150</v>
      </c>
      <c r="H881">
        <v>450</v>
      </c>
      <c r="I881">
        <v>70</v>
      </c>
      <c r="J881">
        <v>210</v>
      </c>
      <c r="K881">
        <v>240</v>
      </c>
      <c r="L881" t="s">
        <v>44</v>
      </c>
      <c r="M881" t="s">
        <v>30</v>
      </c>
      <c r="N881" t="s">
        <v>81</v>
      </c>
      <c r="O881">
        <v>22.74</v>
      </c>
      <c r="P881">
        <v>46.21</v>
      </c>
      <c r="Q881">
        <v>10.29</v>
      </c>
      <c r="R881">
        <v>9.23</v>
      </c>
      <c r="S881">
        <v>4.62</v>
      </c>
      <c r="T881">
        <v>11.57</v>
      </c>
      <c r="U881">
        <v>7.41</v>
      </c>
      <c r="V881">
        <v>0.96</v>
      </c>
      <c r="W881">
        <v>126.97</v>
      </c>
      <c r="X881" t="s">
        <v>57</v>
      </c>
      <c r="Y881" t="s">
        <v>33</v>
      </c>
    </row>
    <row r="882" spans="1:25" x14ac:dyDescent="0.3">
      <c r="A882">
        <v>881</v>
      </c>
      <c r="B882" t="s">
        <v>147</v>
      </c>
      <c r="C882" t="s">
        <v>80</v>
      </c>
      <c r="D882" t="s">
        <v>27</v>
      </c>
      <c r="E882" t="s">
        <v>28</v>
      </c>
      <c r="F882">
        <v>2</v>
      </c>
      <c r="G882">
        <v>200</v>
      </c>
      <c r="H882">
        <v>400</v>
      </c>
      <c r="I882">
        <v>90</v>
      </c>
      <c r="J882">
        <v>180</v>
      </c>
      <c r="K882">
        <v>220</v>
      </c>
      <c r="L882" t="s">
        <v>55</v>
      </c>
      <c r="M882" t="s">
        <v>30</v>
      </c>
      <c r="N882" t="s">
        <v>51</v>
      </c>
      <c r="O882">
        <v>25.66</v>
      </c>
      <c r="P882">
        <v>16.71</v>
      </c>
      <c r="Q882">
        <v>15.21</v>
      </c>
      <c r="R882">
        <v>8.57</v>
      </c>
      <c r="S882">
        <v>1.71</v>
      </c>
      <c r="T882">
        <v>12.7</v>
      </c>
      <c r="U882">
        <v>6.62</v>
      </c>
      <c r="V882">
        <v>2</v>
      </c>
      <c r="W882">
        <v>130.82</v>
      </c>
      <c r="X882" t="s">
        <v>32</v>
      </c>
      <c r="Y882" t="s">
        <v>40</v>
      </c>
    </row>
    <row r="883" spans="1:25" x14ac:dyDescent="0.3">
      <c r="A883">
        <v>882</v>
      </c>
      <c r="B883" t="s">
        <v>195</v>
      </c>
      <c r="C883" t="s">
        <v>554</v>
      </c>
      <c r="D883" t="s">
        <v>62</v>
      </c>
      <c r="E883" t="s">
        <v>28</v>
      </c>
      <c r="F883">
        <v>2</v>
      </c>
      <c r="G883">
        <v>250</v>
      </c>
      <c r="H883">
        <v>500</v>
      </c>
      <c r="I883">
        <v>110</v>
      </c>
      <c r="J883">
        <v>220</v>
      </c>
      <c r="K883">
        <v>280</v>
      </c>
      <c r="L883" t="s">
        <v>44</v>
      </c>
      <c r="M883" t="s">
        <v>38</v>
      </c>
      <c r="N883" t="s">
        <v>46</v>
      </c>
      <c r="O883">
        <v>34.47</v>
      </c>
      <c r="P883">
        <v>35.49</v>
      </c>
      <c r="Q883">
        <v>19.3</v>
      </c>
      <c r="R883">
        <v>10.62</v>
      </c>
      <c r="S883">
        <v>2.56</v>
      </c>
      <c r="T883">
        <v>5.05</v>
      </c>
      <c r="U883">
        <v>7.49</v>
      </c>
      <c r="V883">
        <v>2.65</v>
      </c>
      <c r="W883">
        <v>162.37</v>
      </c>
      <c r="X883" t="s">
        <v>32</v>
      </c>
      <c r="Y883" t="s">
        <v>33</v>
      </c>
    </row>
    <row r="884" spans="1:25" x14ac:dyDescent="0.3">
      <c r="A884">
        <v>883</v>
      </c>
      <c r="B884" t="s">
        <v>271</v>
      </c>
      <c r="C884" t="s">
        <v>479</v>
      </c>
      <c r="D884" t="s">
        <v>49</v>
      </c>
      <c r="E884" t="s">
        <v>50</v>
      </c>
      <c r="F884">
        <v>2</v>
      </c>
      <c r="G884">
        <v>180</v>
      </c>
      <c r="H884">
        <v>360</v>
      </c>
      <c r="I884">
        <v>90</v>
      </c>
      <c r="J884">
        <v>180</v>
      </c>
      <c r="K884">
        <v>180</v>
      </c>
      <c r="L884" t="s">
        <v>37</v>
      </c>
      <c r="M884" t="s">
        <v>38</v>
      </c>
      <c r="N884" t="s">
        <v>46</v>
      </c>
      <c r="O884">
        <v>31</v>
      </c>
      <c r="P884">
        <v>22.37</v>
      </c>
      <c r="Q884">
        <v>8.4600000000000009</v>
      </c>
      <c r="R884">
        <v>17.45</v>
      </c>
      <c r="S884">
        <v>2.44</v>
      </c>
      <c r="T884">
        <v>10.71</v>
      </c>
      <c r="U884">
        <v>6.68</v>
      </c>
      <c r="V884">
        <v>1.23</v>
      </c>
      <c r="W884">
        <v>79.66</v>
      </c>
      <c r="X884" t="s">
        <v>57</v>
      </c>
      <c r="Y884" t="s">
        <v>33</v>
      </c>
    </row>
    <row r="885" spans="1:25" x14ac:dyDescent="0.3">
      <c r="A885">
        <v>884</v>
      </c>
      <c r="B885" t="s">
        <v>334</v>
      </c>
      <c r="C885" t="s">
        <v>248</v>
      </c>
      <c r="D885" t="s">
        <v>49</v>
      </c>
      <c r="E885" t="s">
        <v>50</v>
      </c>
      <c r="F885">
        <v>2</v>
      </c>
      <c r="G885">
        <v>180</v>
      </c>
      <c r="H885">
        <v>360</v>
      </c>
      <c r="I885">
        <v>90</v>
      </c>
      <c r="J885">
        <v>180</v>
      </c>
      <c r="K885">
        <v>180</v>
      </c>
      <c r="L885" t="s">
        <v>44</v>
      </c>
      <c r="M885" t="s">
        <v>45</v>
      </c>
      <c r="N885" t="s">
        <v>39</v>
      </c>
      <c r="O885">
        <v>29.78</v>
      </c>
      <c r="P885">
        <v>22.6</v>
      </c>
      <c r="Q885">
        <v>16.59</v>
      </c>
      <c r="R885">
        <v>14.06</v>
      </c>
      <c r="S885">
        <v>2.65</v>
      </c>
      <c r="T885">
        <v>11.38</v>
      </c>
      <c r="U885">
        <v>6.51</v>
      </c>
      <c r="V885">
        <v>1.69</v>
      </c>
      <c r="W885">
        <v>74.739999999999995</v>
      </c>
      <c r="X885" t="s">
        <v>32</v>
      </c>
      <c r="Y885" t="s">
        <v>40</v>
      </c>
    </row>
    <row r="886" spans="1:25" x14ac:dyDescent="0.3">
      <c r="A886">
        <v>885</v>
      </c>
      <c r="B886" t="s">
        <v>225</v>
      </c>
      <c r="C886" t="s">
        <v>76</v>
      </c>
      <c r="D886" t="s">
        <v>89</v>
      </c>
      <c r="E886" t="s">
        <v>28</v>
      </c>
      <c r="F886">
        <v>1</v>
      </c>
      <c r="G886">
        <v>180</v>
      </c>
      <c r="H886">
        <v>180</v>
      </c>
      <c r="I886">
        <v>75</v>
      </c>
      <c r="J886">
        <v>75</v>
      </c>
      <c r="K886">
        <v>105</v>
      </c>
      <c r="L886" t="s">
        <v>55</v>
      </c>
      <c r="M886" t="s">
        <v>45</v>
      </c>
      <c r="N886" t="s">
        <v>51</v>
      </c>
      <c r="O886">
        <v>28.46</v>
      </c>
      <c r="P886">
        <v>38.909999999999997</v>
      </c>
      <c r="Q886">
        <v>11.94</v>
      </c>
      <c r="R886">
        <v>22.58</v>
      </c>
      <c r="S886">
        <v>2.58</v>
      </c>
      <c r="T886">
        <v>4.1500000000000004</v>
      </c>
      <c r="U886">
        <v>2.8</v>
      </c>
      <c r="V886">
        <v>2.68</v>
      </c>
      <c r="W886">
        <v>-9.1</v>
      </c>
      <c r="X886" t="s">
        <v>66</v>
      </c>
      <c r="Y886" t="s">
        <v>40</v>
      </c>
    </row>
    <row r="887" spans="1:25" x14ac:dyDescent="0.3">
      <c r="A887">
        <v>886</v>
      </c>
      <c r="B887" t="s">
        <v>293</v>
      </c>
      <c r="C887" t="s">
        <v>197</v>
      </c>
      <c r="D887" t="s">
        <v>89</v>
      </c>
      <c r="E887" t="s">
        <v>28</v>
      </c>
      <c r="F887">
        <v>3</v>
      </c>
      <c r="G887">
        <v>180</v>
      </c>
      <c r="H887">
        <v>540</v>
      </c>
      <c r="I887">
        <v>75</v>
      </c>
      <c r="J887">
        <v>225</v>
      </c>
      <c r="K887">
        <v>315</v>
      </c>
      <c r="L887" t="s">
        <v>37</v>
      </c>
      <c r="M887" t="s">
        <v>30</v>
      </c>
      <c r="N887" t="s">
        <v>31</v>
      </c>
      <c r="O887">
        <v>11.29</v>
      </c>
      <c r="P887">
        <v>48.45</v>
      </c>
      <c r="Q887">
        <v>10.050000000000001</v>
      </c>
      <c r="R887">
        <v>14.38</v>
      </c>
      <c r="S887">
        <v>3.69</v>
      </c>
      <c r="T887">
        <v>7.95</v>
      </c>
      <c r="U887">
        <v>7.06</v>
      </c>
      <c r="V887">
        <v>2.0699999999999998</v>
      </c>
      <c r="W887">
        <v>210.06</v>
      </c>
      <c r="X887" t="s">
        <v>66</v>
      </c>
      <c r="Y887" t="s">
        <v>33</v>
      </c>
    </row>
    <row r="888" spans="1:25" x14ac:dyDescent="0.3">
      <c r="A888">
        <v>887</v>
      </c>
      <c r="B888" t="s">
        <v>320</v>
      </c>
      <c r="C888" t="s">
        <v>78</v>
      </c>
      <c r="D888" t="s">
        <v>89</v>
      </c>
      <c r="E888" t="s">
        <v>28</v>
      </c>
      <c r="F888">
        <v>1</v>
      </c>
      <c r="G888">
        <v>180</v>
      </c>
      <c r="H888">
        <v>180</v>
      </c>
      <c r="I888">
        <v>75</v>
      </c>
      <c r="J888">
        <v>75</v>
      </c>
      <c r="K888">
        <v>105</v>
      </c>
      <c r="L888" t="s">
        <v>29</v>
      </c>
      <c r="M888" t="s">
        <v>45</v>
      </c>
      <c r="N888" t="s">
        <v>81</v>
      </c>
      <c r="O888">
        <v>16.510000000000002</v>
      </c>
      <c r="P888">
        <v>31.42</v>
      </c>
      <c r="Q888">
        <v>9.06</v>
      </c>
      <c r="R888">
        <v>5.49</v>
      </c>
      <c r="S888">
        <v>2.27</v>
      </c>
      <c r="T888">
        <v>3.78</v>
      </c>
      <c r="U888">
        <v>7.34</v>
      </c>
      <c r="V888">
        <v>2.35</v>
      </c>
      <c r="W888">
        <v>26.78</v>
      </c>
      <c r="X888" t="s">
        <v>66</v>
      </c>
      <c r="Y888" t="s">
        <v>40</v>
      </c>
    </row>
    <row r="889" spans="1:25" x14ac:dyDescent="0.3">
      <c r="A889">
        <v>888</v>
      </c>
      <c r="B889" t="s">
        <v>213</v>
      </c>
      <c r="C889" t="s">
        <v>532</v>
      </c>
      <c r="D889" t="s">
        <v>109</v>
      </c>
      <c r="E889" t="s">
        <v>50</v>
      </c>
      <c r="F889">
        <v>4</v>
      </c>
      <c r="G889">
        <v>150</v>
      </c>
      <c r="H889">
        <v>600</v>
      </c>
      <c r="I889">
        <v>70</v>
      </c>
      <c r="J889">
        <v>280</v>
      </c>
      <c r="K889">
        <v>320</v>
      </c>
      <c r="L889" t="s">
        <v>86</v>
      </c>
      <c r="M889" t="s">
        <v>30</v>
      </c>
      <c r="N889" t="s">
        <v>39</v>
      </c>
      <c r="O889">
        <v>28.98</v>
      </c>
      <c r="P889">
        <v>30.34</v>
      </c>
      <c r="Q889">
        <v>11.69</v>
      </c>
      <c r="R889">
        <v>1.55</v>
      </c>
      <c r="S889">
        <v>4.8600000000000003</v>
      </c>
      <c r="T889">
        <v>12.25</v>
      </c>
      <c r="U889">
        <v>2.2799999999999998</v>
      </c>
      <c r="V889">
        <v>0.14000000000000001</v>
      </c>
      <c r="W889">
        <v>227.91</v>
      </c>
      <c r="X889" t="s">
        <v>66</v>
      </c>
      <c r="Y889" t="s">
        <v>33</v>
      </c>
    </row>
    <row r="890" spans="1:25" x14ac:dyDescent="0.3">
      <c r="A890">
        <v>889</v>
      </c>
      <c r="B890" t="s">
        <v>328</v>
      </c>
      <c r="C890" t="s">
        <v>397</v>
      </c>
      <c r="D890" t="s">
        <v>27</v>
      </c>
      <c r="E890" t="s">
        <v>28</v>
      </c>
      <c r="F890">
        <v>1</v>
      </c>
      <c r="G890">
        <v>200</v>
      </c>
      <c r="H890">
        <v>200</v>
      </c>
      <c r="I890">
        <v>90</v>
      </c>
      <c r="J890">
        <v>90</v>
      </c>
      <c r="K890">
        <v>110</v>
      </c>
      <c r="L890" t="s">
        <v>44</v>
      </c>
      <c r="M890" t="s">
        <v>30</v>
      </c>
      <c r="N890" t="s">
        <v>39</v>
      </c>
      <c r="O890">
        <v>26.23</v>
      </c>
      <c r="P890">
        <v>15.06</v>
      </c>
      <c r="Q890">
        <v>11.68</v>
      </c>
      <c r="R890">
        <v>7.39</v>
      </c>
      <c r="S890">
        <v>1.07</v>
      </c>
      <c r="T890">
        <v>12.34</v>
      </c>
      <c r="U890">
        <v>5.6</v>
      </c>
      <c r="V890">
        <v>0.57999999999999996</v>
      </c>
      <c r="W890">
        <v>30.05</v>
      </c>
      <c r="X890" t="s">
        <v>66</v>
      </c>
      <c r="Y890" t="s">
        <v>40</v>
      </c>
    </row>
    <row r="891" spans="1:25" x14ac:dyDescent="0.3">
      <c r="A891">
        <v>890</v>
      </c>
      <c r="B891" t="s">
        <v>542</v>
      </c>
      <c r="C891" t="s">
        <v>118</v>
      </c>
      <c r="D891" t="s">
        <v>89</v>
      </c>
      <c r="E891" t="s">
        <v>28</v>
      </c>
      <c r="F891">
        <v>2</v>
      </c>
      <c r="G891">
        <v>180</v>
      </c>
      <c r="H891">
        <v>360</v>
      </c>
      <c r="I891">
        <v>75</v>
      </c>
      <c r="J891">
        <v>150</v>
      </c>
      <c r="K891">
        <v>210</v>
      </c>
      <c r="L891" t="s">
        <v>55</v>
      </c>
      <c r="M891" t="s">
        <v>63</v>
      </c>
      <c r="N891" t="s">
        <v>39</v>
      </c>
      <c r="O891">
        <v>29.57</v>
      </c>
      <c r="P891">
        <v>45.58</v>
      </c>
      <c r="Q891">
        <v>17.93</v>
      </c>
      <c r="R891">
        <v>9.9600000000000009</v>
      </c>
      <c r="S891">
        <v>1.35</v>
      </c>
      <c r="T891">
        <v>4.12</v>
      </c>
      <c r="U891">
        <v>4.58</v>
      </c>
      <c r="V891">
        <v>1.96</v>
      </c>
      <c r="W891">
        <v>94.95</v>
      </c>
      <c r="X891" t="s">
        <v>32</v>
      </c>
      <c r="Y891" t="s">
        <v>40</v>
      </c>
    </row>
    <row r="892" spans="1:25" x14ac:dyDescent="0.3">
      <c r="A892">
        <v>891</v>
      </c>
      <c r="B892" t="s">
        <v>240</v>
      </c>
      <c r="C892" t="s">
        <v>514</v>
      </c>
      <c r="D892" t="s">
        <v>62</v>
      </c>
      <c r="E892" t="s">
        <v>28</v>
      </c>
      <c r="F892">
        <v>4</v>
      </c>
      <c r="G892">
        <v>250</v>
      </c>
      <c r="H892">
        <v>1000</v>
      </c>
      <c r="I892">
        <v>110</v>
      </c>
      <c r="J892">
        <v>440</v>
      </c>
      <c r="K892">
        <v>560</v>
      </c>
      <c r="L892" t="s">
        <v>44</v>
      </c>
      <c r="M892" t="s">
        <v>38</v>
      </c>
      <c r="N892" t="s">
        <v>51</v>
      </c>
      <c r="O892">
        <v>32.880000000000003</v>
      </c>
      <c r="P892">
        <v>57</v>
      </c>
      <c r="Q892">
        <v>12.43</v>
      </c>
      <c r="R892">
        <v>30.07</v>
      </c>
      <c r="S892">
        <v>3.28</v>
      </c>
      <c r="T892">
        <v>9.9499999999999993</v>
      </c>
      <c r="U892">
        <v>6.5</v>
      </c>
      <c r="V892">
        <v>2</v>
      </c>
      <c r="W892">
        <v>405.89</v>
      </c>
      <c r="X892" t="s">
        <v>57</v>
      </c>
      <c r="Y892" t="s">
        <v>33</v>
      </c>
    </row>
    <row r="893" spans="1:25" x14ac:dyDescent="0.3">
      <c r="A893">
        <v>892</v>
      </c>
      <c r="B893" t="s">
        <v>103</v>
      </c>
      <c r="C893" t="s">
        <v>248</v>
      </c>
      <c r="D893" t="s">
        <v>62</v>
      </c>
      <c r="E893" t="s">
        <v>28</v>
      </c>
      <c r="F893">
        <v>3</v>
      </c>
      <c r="G893">
        <v>250</v>
      </c>
      <c r="H893">
        <v>750</v>
      </c>
      <c r="I893">
        <v>110</v>
      </c>
      <c r="J893">
        <v>330</v>
      </c>
      <c r="K893">
        <v>420</v>
      </c>
      <c r="L893" t="s">
        <v>55</v>
      </c>
      <c r="M893" t="s">
        <v>63</v>
      </c>
      <c r="N893" t="s">
        <v>31</v>
      </c>
      <c r="O893">
        <v>35.21</v>
      </c>
      <c r="P893">
        <v>46.5</v>
      </c>
      <c r="Q893">
        <v>19.809999999999999</v>
      </c>
      <c r="R893">
        <v>20.46</v>
      </c>
      <c r="S893">
        <v>1.92</v>
      </c>
      <c r="T893">
        <v>8.57</v>
      </c>
      <c r="U893">
        <v>3.74</v>
      </c>
      <c r="V893">
        <v>0.61</v>
      </c>
      <c r="W893">
        <v>283.18</v>
      </c>
      <c r="X893" t="s">
        <v>66</v>
      </c>
      <c r="Y893" t="s">
        <v>33</v>
      </c>
    </row>
    <row r="894" spans="1:25" x14ac:dyDescent="0.3">
      <c r="A894">
        <v>893</v>
      </c>
      <c r="B894" t="s">
        <v>340</v>
      </c>
      <c r="C894" t="s">
        <v>165</v>
      </c>
      <c r="D894" t="s">
        <v>89</v>
      </c>
      <c r="E894" t="s">
        <v>28</v>
      </c>
      <c r="F894">
        <v>1</v>
      </c>
      <c r="G894">
        <v>180</v>
      </c>
      <c r="H894">
        <v>180</v>
      </c>
      <c r="I894">
        <v>75</v>
      </c>
      <c r="J894">
        <v>75</v>
      </c>
      <c r="K894">
        <v>105</v>
      </c>
      <c r="L894" t="s">
        <v>29</v>
      </c>
      <c r="M894" t="s">
        <v>38</v>
      </c>
      <c r="N894" t="s">
        <v>46</v>
      </c>
      <c r="O894">
        <v>11.84</v>
      </c>
      <c r="P894">
        <v>19.66</v>
      </c>
      <c r="Q894">
        <v>13.94</v>
      </c>
      <c r="R894">
        <v>24.09</v>
      </c>
      <c r="S894">
        <v>4.66</v>
      </c>
      <c r="T894">
        <v>7.07</v>
      </c>
      <c r="U894">
        <v>3.26</v>
      </c>
      <c r="V894">
        <v>2</v>
      </c>
      <c r="W894">
        <v>18.48</v>
      </c>
      <c r="X894" t="s">
        <v>32</v>
      </c>
      <c r="Y894" t="s">
        <v>40</v>
      </c>
    </row>
    <row r="895" spans="1:25" x14ac:dyDescent="0.3">
      <c r="A895">
        <v>894</v>
      </c>
      <c r="B895" t="s">
        <v>195</v>
      </c>
      <c r="C895" t="s">
        <v>255</v>
      </c>
      <c r="D895" t="s">
        <v>27</v>
      </c>
      <c r="E895" t="s">
        <v>28</v>
      </c>
      <c r="F895">
        <v>1</v>
      </c>
      <c r="G895">
        <v>200</v>
      </c>
      <c r="H895">
        <v>200</v>
      </c>
      <c r="I895">
        <v>90</v>
      </c>
      <c r="J895">
        <v>90</v>
      </c>
      <c r="K895">
        <v>110</v>
      </c>
      <c r="L895" t="s">
        <v>55</v>
      </c>
      <c r="M895" t="s">
        <v>38</v>
      </c>
      <c r="N895" t="s">
        <v>39</v>
      </c>
      <c r="O895">
        <v>37.18</v>
      </c>
      <c r="P895">
        <v>57.77</v>
      </c>
      <c r="Q895">
        <v>5.33</v>
      </c>
      <c r="R895">
        <v>18.399999999999999</v>
      </c>
      <c r="S895">
        <v>1.04</v>
      </c>
      <c r="T895">
        <v>11.44</v>
      </c>
      <c r="U895">
        <v>3.44</v>
      </c>
      <c r="V895">
        <v>2.15</v>
      </c>
      <c r="W895">
        <v>-26.75</v>
      </c>
      <c r="X895" t="s">
        <v>57</v>
      </c>
      <c r="Y895" t="s">
        <v>33</v>
      </c>
    </row>
    <row r="896" spans="1:25" x14ac:dyDescent="0.3">
      <c r="A896">
        <v>895</v>
      </c>
      <c r="B896" t="s">
        <v>95</v>
      </c>
      <c r="C896" t="s">
        <v>446</v>
      </c>
      <c r="D896" t="s">
        <v>109</v>
      </c>
      <c r="E896" t="s">
        <v>50</v>
      </c>
      <c r="F896">
        <v>2</v>
      </c>
      <c r="G896">
        <v>150</v>
      </c>
      <c r="H896">
        <v>300</v>
      </c>
      <c r="I896">
        <v>70</v>
      </c>
      <c r="J896">
        <v>140</v>
      </c>
      <c r="K896">
        <v>160</v>
      </c>
      <c r="L896" t="s">
        <v>37</v>
      </c>
      <c r="M896" t="s">
        <v>45</v>
      </c>
      <c r="N896" t="s">
        <v>51</v>
      </c>
      <c r="O896">
        <v>30.52</v>
      </c>
      <c r="P896">
        <v>59.74</v>
      </c>
      <c r="Q896">
        <v>10.74</v>
      </c>
      <c r="R896">
        <v>12.72</v>
      </c>
      <c r="S896">
        <v>2.56</v>
      </c>
      <c r="T896">
        <v>14.56</v>
      </c>
      <c r="U896">
        <v>5.79</v>
      </c>
      <c r="V896">
        <v>1</v>
      </c>
      <c r="W896">
        <v>22.37</v>
      </c>
      <c r="X896" t="s">
        <v>57</v>
      </c>
      <c r="Y896" t="s">
        <v>33</v>
      </c>
    </row>
    <row r="897" spans="1:25" x14ac:dyDescent="0.3">
      <c r="A897">
        <v>896</v>
      </c>
      <c r="B897" t="s">
        <v>82</v>
      </c>
      <c r="C897" t="s">
        <v>35</v>
      </c>
      <c r="D897" t="s">
        <v>43</v>
      </c>
      <c r="E897" t="s">
        <v>43</v>
      </c>
      <c r="F897">
        <v>1</v>
      </c>
      <c r="G897">
        <v>80</v>
      </c>
      <c r="H897">
        <v>80</v>
      </c>
      <c r="I897">
        <v>30</v>
      </c>
      <c r="J897">
        <v>30</v>
      </c>
      <c r="K897">
        <v>50</v>
      </c>
      <c r="L897" t="s">
        <v>44</v>
      </c>
      <c r="M897" t="s">
        <v>45</v>
      </c>
      <c r="N897" t="s">
        <v>81</v>
      </c>
      <c r="O897">
        <v>33.53</v>
      </c>
      <c r="P897">
        <v>36.950000000000003</v>
      </c>
      <c r="Q897">
        <v>9.5299999999999994</v>
      </c>
      <c r="R897">
        <v>22.36</v>
      </c>
      <c r="S897">
        <v>2.5099999999999998</v>
      </c>
      <c r="T897">
        <v>9.14</v>
      </c>
      <c r="U897">
        <v>3.11</v>
      </c>
      <c r="V897">
        <v>2.67</v>
      </c>
      <c r="W897">
        <v>-69.8</v>
      </c>
      <c r="X897" t="s">
        <v>66</v>
      </c>
      <c r="Y897" t="s">
        <v>40</v>
      </c>
    </row>
    <row r="898" spans="1:25" x14ac:dyDescent="0.3">
      <c r="A898">
        <v>897</v>
      </c>
      <c r="B898" t="s">
        <v>524</v>
      </c>
      <c r="C898" t="s">
        <v>124</v>
      </c>
      <c r="D898" t="s">
        <v>89</v>
      </c>
      <c r="E898" t="s">
        <v>28</v>
      </c>
      <c r="F898">
        <v>3</v>
      </c>
      <c r="G898">
        <v>180</v>
      </c>
      <c r="H898">
        <v>540</v>
      </c>
      <c r="I898">
        <v>75</v>
      </c>
      <c r="J898">
        <v>225</v>
      </c>
      <c r="K898">
        <v>315</v>
      </c>
      <c r="L898" t="s">
        <v>29</v>
      </c>
      <c r="M898" t="s">
        <v>45</v>
      </c>
      <c r="N898" t="s">
        <v>81</v>
      </c>
      <c r="O898">
        <v>11.95</v>
      </c>
      <c r="P898">
        <v>47.59</v>
      </c>
      <c r="Q898">
        <v>5.39</v>
      </c>
      <c r="R898">
        <v>4.68</v>
      </c>
      <c r="S898">
        <v>1.86</v>
      </c>
      <c r="T898">
        <v>8.86</v>
      </c>
      <c r="U898">
        <v>1.06</v>
      </c>
      <c r="V898">
        <v>2.56</v>
      </c>
      <c r="W898">
        <v>231.05</v>
      </c>
      <c r="X898" t="s">
        <v>66</v>
      </c>
      <c r="Y898" t="s">
        <v>33</v>
      </c>
    </row>
    <row r="899" spans="1:25" x14ac:dyDescent="0.3">
      <c r="A899">
        <v>898</v>
      </c>
      <c r="B899" t="s">
        <v>424</v>
      </c>
      <c r="C899" t="s">
        <v>125</v>
      </c>
      <c r="D899" t="s">
        <v>36</v>
      </c>
      <c r="E899" t="s">
        <v>28</v>
      </c>
      <c r="F899">
        <v>3</v>
      </c>
      <c r="G899">
        <v>220</v>
      </c>
      <c r="H899">
        <v>660</v>
      </c>
      <c r="I899">
        <v>100</v>
      </c>
      <c r="J899">
        <v>300</v>
      </c>
      <c r="K899">
        <v>360</v>
      </c>
      <c r="L899" t="s">
        <v>29</v>
      </c>
      <c r="M899" t="s">
        <v>56</v>
      </c>
      <c r="N899" t="s">
        <v>81</v>
      </c>
      <c r="O899">
        <v>19.55</v>
      </c>
      <c r="P899">
        <v>44.5</v>
      </c>
      <c r="Q899">
        <v>14.26</v>
      </c>
      <c r="R899">
        <v>31.7</v>
      </c>
      <c r="S899">
        <v>1.19</v>
      </c>
      <c r="T899">
        <v>3.5</v>
      </c>
      <c r="U899">
        <v>7.03</v>
      </c>
      <c r="V899">
        <v>2.5</v>
      </c>
      <c r="W899">
        <v>235.77</v>
      </c>
      <c r="X899" t="s">
        <v>66</v>
      </c>
      <c r="Y899" t="s">
        <v>33</v>
      </c>
    </row>
    <row r="900" spans="1:25" x14ac:dyDescent="0.3">
      <c r="A900">
        <v>899</v>
      </c>
      <c r="B900" t="s">
        <v>419</v>
      </c>
      <c r="C900" t="s">
        <v>78</v>
      </c>
      <c r="D900" t="s">
        <v>43</v>
      </c>
      <c r="E900" t="s">
        <v>43</v>
      </c>
      <c r="F900">
        <v>1</v>
      </c>
      <c r="G900">
        <v>80</v>
      </c>
      <c r="H900">
        <v>80</v>
      </c>
      <c r="I900">
        <v>30</v>
      </c>
      <c r="J900">
        <v>30</v>
      </c>
      <c r="K900">
        <v>50</v>
      </c>
      <c r="L900" t="s">
        <v>55</v>
      </c>
      <c r="M900" t="s">
        <v>30</v>
      </c>
      <c r="N900" t="s">
        <v>81</v>
      </c>
      <c r="O900">
        <v>18.55</v>
      </c>
      <c r="P900">
        <v>45.18</v>
      </c>
      <c r="Q900">
        <v>9.81</v>
      </c>
      <c r="R900">
        <v>12.96</v>
      </c>
      <c r="S900">
        <v>3.4</v>
      </c>
      <c r="T900">
        <v>8.17</v>
      </c>
      <c r="U900">
        <v>6.11</v>
      </c>
      <c r="V900">
        <v>1.95</v>
      </c>
      <c r="W900">
        <v>-56.13</v>
      </c>
      <c r="X900" t="s">
        <v>66</v>
      </c>
      <c r="Y900" t="s">
        <v>33</v>
      </c>
    </row>
    <row r="901" spans="1:25" x14ac:dyDescent="0.3">
      <c r="A901">
        <v>900</v>
      </c>
      <c r="B901" t="s">
        <v>344</v>
      </c>
      <c r="C901" t="s">
        <v>371</v>
      </c>
      <c r="D901" t="s">
        <v>109</v>
      </c>
      <c r="E901" t="s">
        <v>50</v>
      </c>
      <c r="F901">
        <v>2</v>
      </c>
      <c r="G901">
        <v>150</v>
      </c>
      <c r="H901">
        <v>300</v>
      </c>
      <c r="I901">
        <v>70</v>
      </c>
      <c r="J901">
        <v>140</v>
      </c>
      <c r="K901">
        <v>160</v>
      </c>
      <c r="L901" t="s">
        <v>86</v>
      </c>
      <c r="M901" t="s">
        <v>38</v>
      </c>
      <c r="N901" t="s">
        <v>81</v>
      </c>
      <c r="O901">
        <v>10.31</v>
      </c>
      <c r="P901">
        <v>28.59</v>
      </c>
      <c r="Q901">
        <v>5.18</v>
      </c>
      <c r="R901">
        <v>11.24</v>
      </c>
      <c r="S901">
        <v>3.24</v>
      </c>
      <c r="T901">
        <v>12.61</v>
      </c>
      <c r="U901">
        <v>1.43</v>
      </c>
      <c r="V901">
        <v>0.08</v>
      </c>
      <c r="W901">
        <v>87.32</v>
      </c>
      <c r="X901" t="s">
        <v>66</v>
      </c>
      <c r="Y901" t="s">
        <v>33</v>
      </c>
    </row>
    <row r="902" spans="1:25" x14ac:dyDescent="0.3">
      <c r="A902">
        <v>901</v>
      </c>
      <c r="B902" t="s">
        <v>216</v>
      </c>
      <c r="C902" t="s">
        <v>429</v>
      </c>
      <c r="D902" t="s">
        <v>43</v>
      </c>
      <c r="E902" t="s">
        <v>43</v>
      </c>
      <c r="F902">
        <v>3</v>
      </c>
      <c r="G902">
        <v>80</v>
      </c>
      <c r="H902">
        <v>240</v>
      </c>
      <c r="I902">
        <v>30</v>
      </c>
      <c r="J902">
        <v>90</v>
      </c>
      <c r="K902">
        <v>150</v>
      </c>
      <c r="L902" t="s">
        <v>37</v>
      </c>
      <c r="M902" t="s">
        <v>38</v>
      </c>
      <c r="N902" t="s">
        <v>31</v>
      </c>
      <c r="O902">
        <v>26.6</v>
      </c>
      <c r="P902">
        <v>40.6</v>
      </c>
      <c r="Q902">
        <v>10.7</v>
      </c>
      <c r="R902">
        <v>14.48</v>
      </c>
      <c r="S902">
        <v>2.83</v>
      </c>
      <c r="T902">
        <v>9.19</v>
      </c>
      <c r="U902">
        <v>5.65</v>
      </c>
      <c r="V902">
        <v>1.69</v>
      </c>
      <c r="W902">
        <v>38.26</v>
      </c>
      <c r="X902" t="s">
        <v>66</v>
      </c>
      <c r="Y902" t="s">
        <v>40</v>
      </c>
    </row>
    <row r="903" spans="1:25" x14ac:dyDescent="0.3">
      <c r="A903">
        <v>902</v>
      </c>
      <c r="B903" t="s">
        <v>147</v>
      </c>
      <c r="C903" t="s">
        <v>555</v>
      </c>
      <c r="D903" t="s">
        <v>54</v>
      </c>
      <c r="E903" t="s">
        <v>28</v>
      </c>
      <c r="F903">
        <v>3</v>
      </c>
      <c r="G903">
        <v>120</v>
      </c>
      <c r="H903">
        <v>360</v>
      </c>
      <c r="I903">
        <v>50</v>
      </c>
      <c r="J903">
        <v>150</v>
      </c>
      <c r="K903">
        <v>210</v>
      </c>
      <c r="L903" t="s">
        <v>29</v>
      </c>
      <c r="M903" t="s">
        <v>30</v>
      </c>
      <c r="N903" t="s">
        <v>90</v>
      </c>
      <c r="O903">
        <v>30.08</v>
      </c>
      <c r="P903">
        <v>39.369999999999997</v>
      </c>
      <c r="Q903">
        <v>6.33</v>
      </c>
      <c r="R903">
        <v>25.81</v>
      </c>
      <c r="S903">
        <v>2.95</v>
      </c>
      <c r="T903">
        <v>14.35</v>
      </c>
      <c r="U903">
        <v>7.63</v>
      </c>
      <c r="V903">
        <v>2.06</v>
      </c>
      <c r="W903">
        <v>81.42</v>
      </c>
      <c r="X903" t="s">
        <v>66</v>
      </c>
      <c r="Y903" t="s">
        <v>40</v>
      </c>
    </row>
    <row r="904" spans="1:25" x14ac:dyDescent="0.3">
      <c r="A904">
        <v>903</v>
      </c>
      <c r="B904" t="s">
        <v>34</v>
      </c>
      <c r="C904" t="s">
        <v>218</v>
      </c>
      <c r="D904" t="s">
        <v>27</v>
      </c>
      <c r="E904" t="s">
        <v>28</v>
      </c>
      <c r="F904">
        <v>4</v>
      </c>
      <c r="G904">
        <v>200</v>
      </c>
      <c r="H904">
        <v>800</v>
      </c>
      <c r="I904">
        <v>90</v>
      </c>
      <c r="J904">
        <v>360</v>
      </c>
      <c r="K904">
        <v>440</v>
      </c>
      <c r="L904" t="s">
        <v>29</v>
      </c>
      <c r="M904" t="s">
        <v>30</v>
      </c>
      <c r="N904" t="s">
        <v>46</v>
      </c>
      <c r="O904">
        <v>29.29</v>
      </c>
      <c r="P904">
        <v>20.04</v>
      </c>
      <c r="Q904">
        <v>6.65</v>
      </c>
      <c r="R904">
        <v>5.93</v>
      </c>
      <c r="S904">
        <v>4.51</v>
      </c>
      <c r="T904">
        <v>9.48</v>
      </c>
      <c r="U904">
        <v>1.93</v>
      </c>
      <c r="V904">
        <v>0.51</v>
      </c>
      <c r="W904">
        <v>361.66</v>
      </c>
      <c r="X904" t="s">
        <v>32</v>
      </c>
      <c r="Y904" t="s">
        <v>40</v>
      </c>
    </row>
    <row r="905" spans="1:25" x14ac:dyDescent="0.3">
      <c r="A905">
        <v>904</v>
      </c>
      <c r="B905" t="s">
        <v>452</v>
      </c>
      <c r="C905" t="s">
        <v>160</v>
      </c>
      <c r="D905" t="s">
        <v>49</v>
      </c>
      <c r="E905" t="s">
        <v>50</v>
      </c>
      <c r="F905">
        <v>4</v>
      </c>
      <c r="G905">
        <v>180</v>
      </c>
      <c r="H905">
        <v>720</v>
      </c>
      <c r="I905">
        <v>90</v>
      </c>
      <c r="J905">
        <v>360</v>
      </c>
      <c r="K905">
        <v>360</v>
      </c>
      <c r="L905" t="s">
        <v>55</v>
      </c>
      <c r="M905" t="s">
        <v>45</v>
      </c>
      <c r="N905" t="s">
        <v>51</v>
      </c>
      <c r="O905">
        <v>22.94</v>
      </c>
      <c r="P905">
        <v>39.71</v>
      </c>
      <c r="Q905">
        <v>13.66</v>
      </c>
      <c r="R905">
        <v>9.2799999999999994</v>
      </c>
      <c r="S905">
        <v>0.57999999999999996</v>
      </c>
      <c r="T905">
        <v>2.04</v>
      </c>
      <c r="U905">
        <v>3.42</v>
      </c>
      <c r="V905">
        <v>0.15</v>
      </c>
      <c r="W905">
        <v>268.22000000000003</v>
      </c>
      <c r="X905" t="s">
        <v>66</v>
      </c>
      <c r="Y905" t="s">
        <v>40</v>
      </c>
    </row>
    <row r="906" spans="1:25" x14ac:dyDescent="0.3">
      <c r="A906">
        <v>905</v>
      </c>
      <c r="B906" t="s">
        <v>379</v>
      </c>
      <c r="C906" t="s">
        <v>315</v>
      </c>
      <c r="D906" t="s">
        <v>49</v>
      </c>
      <c r="E906" t="s">
        <v>50</v>
      </c>
      <c r="F906">
        <v>3</v>
      </c>
      <c r="G906">
        <v>180</v>
      </c>
      <c r="H906">
        <v>540</v>
      </c>
      <c r="I906">
        <v>90</v>
      </c>
      <c r="J906">
        <v>270</v>
      </c>
      <c r="K906">
        <v>270</v>
      </c>
      <c r="L906" t="s">
        <v>29</v>
      </c>
      <c r="M906" t="s">
        <v>30</v>
      </c>
      <c r="N906" t="s">
        <v>31</v>
      </c>
      <c r="O906">
        <v>23.54</v>
      </c>
      <c r="P906">
        <v>24.91</v>
      </c>
      <c r="Q906">
        <v>19.829999999999998</v>
      </c>
      <c r="R906">
        <v>32.57</v>
      </c>
      <c r="S906">
        <v>1.86</v>
      </c>
      <c r="T906">
        <v>12.92</v>
      </c>
      <c r="U906">
        <v>3.41</v>
      </c>
      <c r="V906">
        <v>0.9</v>
      </c>
      <c r="W906">
        <v>150.06</v>
      </c>
      <c r="X906" t="s">
        <v>32</v>
      </c>
      <c r="Y906" t="s">
        <v>33</v>
      </c>
    </row>
    <row r="907" spans="1:25" x14ac:dyDescent="0.3">
      <c r="A907">
        <v>906</v>
      </c>
      <c r="B907" t="s">
        <v>307</v>
      </c>
      <c r="C907" t="s">
        <v>102</v>
      </c>
      <c r="D907" t="s">
        <v>49</v>
      </c>
      <c r="E907" t="s">
        <v>50</v>
      </c>
      <c r="F907">
        <v>2</v>
      </c>
      <c r="G907">
        <v>180</v>
      </c>
      <c r="H907">
        <v>360</v>
      </c>
      <c r="I907">
        <v>90</v>
      </c>
      <c r="J907">
        <v>180</v>
      </c>
      <c r="K907">
        <v>180</v>
      </c>
      <c r="L907" t="s">
        <v>55</v>
      </c>
      <c r="M907" t="s">
        <v>63</v>
      </c>
      <c r="N907" t="s">
        <v>31</v>
      </c>
      <c r="O907">
        <v>31.15</v>
      </c>
      <c r="P907">
        <v>29.92</v>
      </c>
      <c r="Q907">
        <v>8.36</v>
      </c>
      <c r="R907">
        <v>13.7</v>
      </c>
      <c r="S907">
        <v>1.27</v>
      </c>
      <c r="T907">
        <v>11.08</v>
      </c>
      <c r="U907">
        <v>6.23</v>
      </c>
      <c r="V907">
        <v>0.76</v>
      </c>
      <c r="W907">
        <v>77.53</v>
      </c>
      <c r="X907" t="s">
        <v>66</v>
      </c>
      <c r="Y907" t="s">
        <v>33</v>
      </c>
    </row>
    <row r="908" spans="1:25" x14ac:dyDescent="0.3">
      <c r="A908">
        <v>907</v>
      </c>
      <c r="B908" t="s">
        <v>258</v>
      </c>
      <c r="C908" t="s">
        <v>405</v>
      </c>
      <c r="D908" t="s">
        <v>49</v>
      </c>
      <c r="E908" t="s">
        <v>50</v>
      </c>
      <c r="F908">
        <v>1</v>
      </c>
      <c r="G908">
        <v>180</v>
      </c>
      <c r="H908">
        <v>180</v>
      </c>
      <c r="I908">
        <v>90</v>
      </c>
      <c r="J908">
        <v>90</v>
      </c>
      <c r="K908">
        <v>90</v>
      </c>
      <c r="L908" t="s">
        <v>55</v>
      </c>
      <c r="M908" t="s">
        <v>56</v>
      </c>
      <c r="N908" t="s">
        <v>90</v>
      </c>
      <c r="O908">
        <v>20.59</v>
      </c>
      <c r="P908">
        <v>32.76</v>
      </c>
      <c r="Q908">
        <v>12.63</v>
      </c>
      <c r="R908">
        <v>4.0199999999999996</v>
      </c>
      <c r="S908">
        <v>1.3</v>
      </c>
      <c r="T908">
        <v>10.89</v>
      </c>
      <c r="U908">
        <v>4.08</v>
      </c>
      <c r="V908">
        <v>1.72</v>
      </c>
      <c r="W908">
        <v>2.0099999999999998</v>
      </c>
      <c r="X908" t="s">
        <v>32</v>
      </c>
      <c r="Y908" t="s">
        <v>33</v>
      </c>
    </row>
    <row r="909" spans="1:25" x14ac:dyDescent="0.3">
      <c r="A909">
        <v>908</v>
      </c>
      <c r="B909" t="s">
        <v>398</v>
      </c>
      <c r="C909" t="s">
        <v>390</v>
      </c>
      <c r="D909" t="s">
        <v>109</v>
      </c>
      <c r="E909" t="s">
        <v>50</v>
      </c>
      <c r="F909">
        <v>3</v>
      </c>
      <c r="G909">
        <v>150</v>
      </c>
      <c r="H909">
        <v>450</v>
      </c>
      <c r="I909">
        <v>70</v>
      </c>
      <c r="J909">
        <v>210</v>
      </c>
      <c r="K909">
        <v>240</v>
      </c>
      <c r="L909" t="s">
        <v>86</v>
      </c>
      <c r="M909" t="s">
        <v>45</v>
      </c>
      <c r="N909" t="s">
        <v>31</v>
      </c>
      <c r="O909">
        <v>23.72</v>
      </c>
      <c r="P909">
        <v>17.73</v>
      </c>
      <c r="Q909">
        <v>7.25</v>
      </c>
      <c r="R909">
        <v>8.6999999999999993</v>
      </c>
      <c r="S909">
        <v>3.83</v>
      </c>
      <c r="T909">
        <v>7.73</v>
      </c>
      <c r="U909">
        <v>7.21</v>
      </c>
      <c r="V909">
        <v>2.87</v>
      </c>
      <c r="W909">
        <v>160.96</v>
      </c>
      <c r="X909" t="s">
        <v>66</v>
      </c>
      <c r="Y909" t="s">
        <v>33</v>
      </c>
    </row>
    <row r="910" spans="1:25" x14ac:dyDescent="0.3">
      <c r="A910">
        <v>909</v>
      </c>
      <c r="B910" t="s">
        <v>240</v>
      </c>
      <c r="C910" t="s">
        <v>556</v>
      </c>
      <c r="D910" t="s">
        <v>62</v>
      </c>
      <c r="E910" t="s">
        <v>28</v>
      </c>
      <c r="F910">
        <v>2</v>
      </c>
      <c r="G910">
        <v>250</v>
      </c>
      <c r="H910">
        <v>500</v>
      </c>
      <c r="I910">
        <v>110</v>
      </c>
      <c r="J910">
        <v>220</v>
      </c>
      <c r="K910">
        <v>280</v>
      </c>
      <c r="L910" t="s">
        <v>86</v>
      </c>
      <c r="M910" t="s">
        <v>45</v>
      </c>
      <c r="N910" t="s">
        <v>81</v>
      </c>
      <c r="O910">
        <v>14.92</v>
      </c>
      <c r="P910">
        <v>24.06</v>
      </c>
      <c r="Q910">
        <v>6.16</v>
      </c>
      <c r="R910">
        <v>17.21</v>
      </c>
      <c r="S910">
        <v>0.44</v>
      </c>
      <c r="T910">
        <v>2.38</v>
      </c>
      <c r="U910">
        <v>1.1000000000000001</v>
      </c>
      <c r="V910">
        <v>1.31</v>
      </c>
      <c r="W910">
        <v>212.42</v>
      </c>
      <c r="X910" t="s">
        <v>57</v>
      </c>
      <c r="Y910" t="s">
        <v>40</v>
      </c>
    </row>
    <row r="911" spans="1:25" x14ac:dyDescent="0.3">
      <c r="A911">
        <v>910</v>
      </c>
      <c r="B911" t="s">
        <v>229</v>
      </c>
      <c r="C911" t="s">
        <v>322</v>
      </c>
      <c r="D911" t="s">
        <v>27</v>
      </c>
      <c r="E911" t="s">
        <v>28</v>
      </c>
      <c r="F911">
        <v>4</v>
      </c>
      <c r="G911">
        <v>200</v>
      </c>
      <c r="H911">
        <v>800</v>
      </c>
      <c r="I911">
        <v>90</v>
      </c>
      <c r="J911">
        <v>360</v>
      </c>
      <c r="K911">
        <v>440</v>
      </c>
      <c r="L911" t="s">
        <v>37</v>
      </c>
      <c r="M911" t="s">
        <v>56</v>
      </c>
      <c r="N911" t="s">
        <v>81</v>
      </c>
      <c r="O911">
        <v>27.25</v>
      </c>
      <c r="P911">
        <v>29.2</v>
      </c>
      <c r="Q911">
        <v>9.23</v>
      </c>
      <c r="R911">
        <v>20.51</v>
      </c>
      <c r="S911">
        <v>3.66</v>
      </c>
      <c r="T911">
        <v>11.16</v>
      </c>
      <c r="U911">
        <v>4.88</v>
      </c>
      <c r="V911">
        <v>1</v>
      </c>
      <c r="W911">
        <v>333.11</v>
      </c>
      <c r="X911" t="s">
        <v>32</v>
      </c>
      <c r="Y911" t="s">
        <v>40</v>
      </c>
    </row>
    <row r="912" spans="1:25" x14ac:dyDescent="0.3">
      <c r="A912">
        <v>911</v>
      </c>
      <c r="B912" t="s">
        <v>475</v>
      </c>
      <c r="C912" t="s">
        <v>59</v>
      </c>
      <c r="D912" t="s">
        <v>54</v>
      </c>
      <c r="E912" t="s">
        <v>28</v>
      </c>
      <c r="F912">
        <v>4</v>
      </c>
      <c r="G912">
        <v>120</v>
      </c>
      <c r="H912">
        <v>480</v>
      </c>
      <c r="I912">
        <v>50</v>
      </c>
      <c r="J912">
        <v>200</v>
      </c>
      <c r="K912">
        <v>280</v>
      </c>
      <c r="L912" t="s">
        <v>37</v>
      </c>
      <c r="M912" t="s">
        <v>45</v>
      </c>
      <c r="N912" t="s">
        <v>81</v>
      </c>
      <c r="O912">
        <v>38.24</v>
      </c>
      <c r="P912">
        <v>22.91</v>
      </c>
      <c r="Q912">
        <v>11.84</v>
      </c>
      <c r="R912">
        <v>0.8</v>
      </c>
      <c r="S912">
        <v>0.13</v>
      </c>
      <c r="T912">
        <v>12.58</v>
      </c>
      <c r="U912">
        <v>4.43</v>
      </c>
      <c r="V912">
        <v>1.85</v>
      </c>
      <c r="W912">
        <v>187.22</v>
      </c>
      <c r="X912" t="s">
        <v>32</v>
      </c>
      <c r="Y912" t="s">
        <v>40</v>
      </c>
    </row>
    <row r="913" spans="1:25" x14ac:dyDescent="0.3">
      <c r="A913">
        <v>912</v>
      </c>
      <c r="B913" t="s">
        <v>328</v>
      </c>
      <c r="C913" t="s">
        <v>415</v>
      </c>
      <c r="D913" t="s">
        <v>62</v>
      </c>
      <c r="E913" t="s">
        <v>28</v>
      </c>
      <c r="F913">
        <v>4</v>
      </c>
      <c r="G913">
        <v>250</v>
      </c>
      <c r="H913">
        <v>1000</v>
      </c>
      <c r="I913">
        <v>110</v>
      </c>
      <c r="J913">
        <v>440</v>
      </c>
      <c r="K913">
        <v>560</v>
      </c>
      <c r="L913" t="s">
        <v>44</v>
      </c>
      <c r="M913" t="s">
        <v>30</v>
      </c>
      <c r="N913" t="s">
        <v>31</v>
      </c>
      <c r="O913">
        <v>27.57</v>
      </c>
      <c r="P913">
        <v>38.36</v>
      </c>
      <c r="Q913">
        <v>7.04</v>
      </c>
      <c r="R913">
        <v>16.38</v>
      </c>
      <c r="S913">
        <v>1.53</v>
      </c>
      <c r="T913">
        <v>14.37</v>
      </c>
      <c r="U913">
        <v>6.45</v>
      </c>
      <c r="V913">
        <v>2.2999999999999998</v>
      </c>
      <c r="W913">
        <v>446</v>
      </c>
      <c r="X913" t="s">
        <v>66</v>
      </c>
      <c r="Y913" t="s">
        <v>40</v>
      </c>
    </row>
    <row r="914" spans="1:25" x14ac:dyDescent="0.3">
      <c r="A914">
        <v>913</v>
      </c>
      <c r="B914" t="s">
        <v>145</v>
      </c>
      <c r="C914" t="s">
        <v>146</v>
      </c>
      <c r="D914" t="s">
        <v>89</v>
      </c>
      <c r="E914" t="s">
        <v>28</v>
      </c>
      <c r="F914">
        <v>2</v>
      </c>
      <c r="G914">
        <v>180</v>
      </c>
      <c r="H914">
        <v>360</v>
      </c>
      <c r="I914">
        <v>75</v>
      </c>
      <c r="J914">
        <v>150</v>
      </c>
      <c r="K914">
        <v>210</v>
      </c>
      <c r="L914" t="s">
        <v>86</v>
      </c>
      <c r="M914" t="s">
        <v>56</v>
      </c>
      <c r="N914" t="s">
        <v>31</v>
      </c>
      <c r="O914">
        <v>31.96</v>
      </c>
      <c r="P914">
        <v>28.67</v>
      </c>
      <c r="Q914">
        <v>5.35</v>
      </c>
      <c r="R914">
        <v>0.68</v>
      </c>
      <c r="S914">
        <v>4.0199999999999996</v>
      </c>
      <c r="T914">
        <v>5.82</v>
      </c>
      <c r="U914">
        <v>4.0999999999999996</v>
      </c>
      <c r="V914">
        <v>0.18</v>
      </c>
      <c r="W914">
        <v>129.22</v>
      </c>
      <c r="X914" t="s">
        <v>57</v>
      </c>
      <c r="Y914" t="s">
        <v>33</v>
      </c>
    </row>
    <row r="915" spans="1:25" x14ac:dyDescent="0.3">
      <c r="A915">
        <v>914</v>
      </c>
      <c r="B915" t="s">
        <v>258</v>
      </c>
      <c r="C915" t="s">
        <v>391</v>
      </c>
      <c r="D915" t="s">
        <v>49</v>
      </c>
      <c r="E915" t="s">
        <v>50</v>
      </c>
      <c r="F915">
        <v>3</v>
      </c>
      <c r="G915">
        <v>180</v>
      </c>
      <c r="H915">
        <v>540</v>
      </c>
      <c r="I915">
        <v>90</v>
      </c>
      <c r="J915">
        <v>270</v>
      </c>
      <c r="K915">
        <v>270</v>
      </c>
      <c r="L915" t="s">
        <v>37</v>
      </c>
      <c r="M915" t="s">
        <v>30</v>
      </c>
      <c r="N915" t="s">
        <v>46</v>
      </c>
      <c r="O915">
        <v>29.85</v>
      </c>
      <c r="P915">
        <v>33.61</v>
      </c>
      <c r="Q915">
        <v>11.98</v>
      </c>
      <c r="R915">
        <v>12.42</v>
      </c>
      <c r="S915">
        <v>4.8499999999999996</v>
      </c>
      <c r="T915">
        <v>10.67</v>
      </c>
      <c r="U915">
        <v>3.55</v>
      </c>
      <c r="V915">
        <v>0.46</v>
      </c>
      <c r="W915">
        <v>162.61000000000001</v>
      </c>
      <c r="X915" t="s">
        <v>32</v>
      </c>
      <c r="Y915" t="s">
        <v>40</v>
      </c>
    </row>
    <row r="916" spans="1:25" x14ac:dyDescent="0.3">
      <c r="A916">
        <v>915</v>
      </c>
      <c r="B916" t="s">
        <v>201</v>
      </c>
      <c r="C916" t="s">
        <v>461</v>
      </c>
      <c r="D916" t="s">
        <v>43</v>
      </c>
      <c r="E916" t="s">
        <v>43</v>
      </c>
      <c r="F916">
        <v>2</v>
      </c>
      <c r="G916">
        <v>80</v>
      </c>
      <c r="H916">
        <v>160</v>
      </c>
      <c r="I916">
        <v>30</v>
      </c>
      <c r="J916">
        <v>60</v>
      </c>
      <c r="K916">
        <v>100</v>
      </c>
      <c r="L916" t="s">
        <v>29</v>
      </c>
      <c r="M916" t="s">
        <v>56</v>
      </c>
      <c r="N916" t="s">
        <v>39</v>
      </c>
      <c r="O916">
        <v>36.49</v>
      </c>
      <c r="P916">
        <v>30.07</v>
      </c>
      <c r="Q916">
        <v>12.43</v>
      </c>
      <c r="R916">
        <v>30.45</v>
      </c>
      <c r="S916">
        <v>1.41</v>
      </c>
      <c r="T916">
        <v>10.53</v>
      </c>
      <c r="U916">
        <v>6.97</v>
      </c>
      <c r="V916">
        <v>1.94</v>
      </c>
      <c r="W916">
        <v>-30.29</v>
      </c>
      <c r="X916" t="s">
        <v>57</v>
      </c>
      <c r="Y916" t="s">
        <v>40</v>
      </c>
    </row>
    <row r="917" spans="1:25" x14ac:dyDescent="0.3">
      <c r="A917">
        <v>916</v>
      </c>
      <c r="B917" t="s">
        <v>376</v>
      </c>
      <c r="C917" t="s">
        <v>100</v>
      </c>
      <c r="D917" t="s">
        <v>27</v>
      </c>
      <c r="E917" t="s">
        <v>28</v>
      </c>
      <c r="F917">
        <v>3</v>
      </c>
      <c r="G917">
        <v>200</v>
      </c>
      <c r="H917">
        <v>600</v>
      </c>
      <c r="I917">
        <v>90</v>
      </c>
      <c r="J917">
        <v>270</v>
      </c>
      <c r="K917">
        <v>330</v>
      </c>
      <c r="L917" t="s">
        <v>86</v>
      </c>
      <c r="M917" t="s">
        <v>45</v>
      </c>
      <c r="N917" t="s">
        <v>51</v>
      </c>
      <c r="O917">
        <v>32.81</v>
      </c>
      <c r="P917">
        <v>37.380000000000003</v>
      </c>
      <c r="Q917">
        <v>12.67</v>
      </c>
      <c r="R917">
        <v>29.49</v>
      </c>
      <c r="S917">
        <v>3.45</v>
      </c>
      <c r="T917">
        <v>13.81</v>
      </c>
      <c r="U917">
        <v>3.25</v>
      </c>
      <c r="V917">
        <v>0.89</v>
      </c>
      <c r="W917">
        <v>196.25</v>
      </c>
      <c r="X917" t="s">
        <v>66</v>
      </c>
      <c r="Y917" t="s">
        <v>40</v>
      </c>
    </row>
    <row r="918" spans="1:25" x14ac:dyDescent="0.3">
      <c r="A918">
        <v>917</v>
      </c>
      <c r="B918" t="s">
        <v>307</v>
      </c>
      <c r="C918" t="s">
        <v>434</v>
      </c>
      <c r="D918" t="s">
        <v>27</v>
      </c>
      <c r="E918" t="s">
        <v>28</v>
      </c>
      <c r="F918">
        <v>1</v>
      </c>
      <c r="G918">
        <v>200</v>
      </c>
      <c r="H918">
        <v>200</v>
      </c>
      <c r="I918">
        <v>90</v>
      </c>
      <c r="J918">
        <v>90</v>
      </c>
      <c r="K918">
        <v>110</v>
      </c>
      <c r="L918" t="s">
        <v>55</v>
      </c>
      <c r="M918" t="s">
        <v>38</v>
      </c>
      <c r="N918" t="s">
        <v>51</v>
      </c>
      <c r="O918">
        <v>38.130000000000003</v>
      </c>
      <c r="P918">
        <v>19.5</v>
      </c>
      <c r="Q918">
        <v>11.01</v>
      </c>
      <c r="R918">
        <v>16.41</v>
      </c>
      <c r="S918">
        <v>1.35</v>
      </c>
      <c r="T918">
        <v>13.02</v>
      </c>
      <c r="U918">
        <v>1.87</v>
      </c>
      <c r="V918">
        <v>2.85</v>
      </c>
      <c r="W918">
        <v>5.86</v>
      </c>
      <c r="X918" t="s">
        <v>32</v>
      </c>
      <c r="Y918" t="s">
        <v>33</v>
      </c>
    </row>
    <row r="919" spans="1:25" x14ac:dyDescent="0.3">
      <c r="A919">
        <v>918</v>
      </c>
      <c r="B919" t="s">
        <v>201</v>
      </c>
      <c r="C919" t="s">
        <v>338</v>
      </c>
      <c r="D919" t="s">
        <v>62</v>
      </c>
      <c r="E919" t="s">
        <v>28</v>
      </c>
      <c r="F919">
        <v>3</v>
      </c>
      <c r="G919">
        <v>250</v>
      </c>
      <c r="H919">
        <v>750</v>
      </c>
      <c r="I919">
        <v>110</v>
      </c>
      <c r="J919">
        <v>330</v>
      </c>
      <c r="K919">
        <v>420</v>
      </c>
      <c r="L919" t="s">
        <v>44</v>
      </c>
      <c r="M919" t="s">
        <v>45</v>
      </c>
      <c r="N919" t="s">
        <v>31</v>
      </c>
      <c r="O919">
        <v>37.76</v>
      </c>
      <c r="P919">
        <v>53.62</v>
      </c>
      <c r="Q919">
        <v>19.75</v>
      </c>
      <c r="R919">
        <v>20.190000000000001</v>
      </c>
      <c r="S919">
        <v>3.69</v>
      </c>
      <c r="T919">
        <v>3.55</v>
      </c>
      <c r="U919">
        <v>3.54</v>
      </c>
      <c r="V919">
        <v>1.91</v>
      </c>
      <c r="W919">
        <v>275.99</v>
      </c>
      <c r="X919" t="s">
        <v>57</v>
      </c>
      <c r="Y919" t="s">
        <v>33</v>
      </c>
    </row>
    <row r="920" spans="1:25" x14ac:dyDescent="0.3">
      <c r="A920">
        <v>919</v>
      </c>
      <c r="B920" t="s">
        <v>147</v>
      </c>
      <c r="C920" t="s">
        <v>329</v>
      </c>
      <c r="D920" t="s">
        <v>27</v>
      </c>
      <c r="E920" t="s">
        <v>28</v>
      </c>
      <c r="F920">
        <v>1</v>
      </c>
      <c r="G920">
        <v>200</v>
      </c>
      <c r="H920">
        <v>200</v>
      </c>
      <c r="I920">
        <v>90</v>
      </c>
      <c r="J920">
        <v>90</v>
      </c>
      <c r="K920">
        <v>110</v>
      </c>
      <c r="L920" t="s">
        <v>44</v>
      </c>
      <c r="M920" t="s">
        <v>63</v>
      </c>
      <c r="N920" t="s">
        <v>81</v>
      </c>
      <c r="O920">
        <v>14.59</v>
      </c>
      <c r="P920">
        <v>18.86</v>
      </c>
      <c r="Q920">
        <v>13.9</v>
      </c>
      <c r="R920">
        <v>25.86</v>
      </c>
      <c r="S920">
        <v>4.17</v>
      </c>
      <c r="T920">
        <v>8.6300000000000008</v>
      </c>
      <c r="U920">
        <v>4.9800000000000004</v>
      </c>
      <c r="V920">
        <v>1.19</v>
      </c>
      <c r="W920">
        <v>17.82</v>
      </c>
      <c r="X920" t="s">
        <v>66</v>
      </c>
      <c r="Y920" t="s">
        <v>33</v>
      </c>
    </row>
    <row r="921" spans="1:25" x14ac:dyDescent="0.3">
      <c r="A921">
        <v>920</v>
      </c>
      <c r="B921" t="s">
        <v>475</v>
      </c>
      <c r="C921" t="s">
        <v>557</v>
      </c>
      <c r="D921" t="s">
        <v>36</v>
      </c>
      <c r="E921" t="s">
        <v>28</v>
      </c>
      <c r="F921">
        <v>1</v>
      </c>
      <c r="G921">
        <v>220</v>
      </c>
      <c r="H921">
        <v>220</v>
      </c>
      <c r="I921">
        <v>100</v>
      </c>
      <c r="J921">
        <v>100</v>
      </c>
      <c r="K921">
        <v>120</v>
      </c>
      <c r="L921" t="s">
        <v>29</v>
      </c>
      <c r="M921" t="s">
        <v>45</v>
      </c>
      <c r="N921" t="s">
        <v>39</v>
      </c>
      <c r="O921">
        <v>14.98</v>
      </c>
      <c r="P921">
        <v>35.049999999999997</v>
      </c>
      <c r="Q921">
        <v>12.34</v>
      </c>
      <c r="R921">
        <v>5.93</v>
      </c>
      <c r="S921">
        <v>1.26</v>
      </c>
      <c r="T921">
        <v>8.51</v>
      </c>
      <c r="U921">
        <v>5.41</v>
      </c>
      <c r="V921">
        <v>0.02</v>
      </c>
      <c r="W921">
        <v>36.5</v>
      </c>
      <c r="X921" t="s">
        <v>32</v>
      </c>
      <c r="Y921" t="s">
        <v>33</v>
      </c>
    </row>
    <row r="922" spans="1:25" x14ac:dyDescent="0.3">
      <c r="A922">
        <v>921</v>
      </c>
      <c r="B922" t="s">
        <v>444</v>
      </c>
      <c r="C922" t="s">
        <v>164</v>
      </c>
      <c r="D922" t="s">
        <v>62</v>
      </c>
      <c r="E922" t="s">
        <v>28</v>
      </c>
      <c r="F922">
        <v>1</v>
      </c>
      <c r="G922">
        <v>250</v>
      </c>
      <c r="H922">
        <v>250</v>
      </c>
      <c r="I922">
        <v>110</v>
      </c>
      <c r="J922">
        <v>110</v>
      </c>
      <c r="K922">
        <v>140</v>
      </c>
      <c r="L922" t="s">
        <v>44</v>
      </c>
      <c r="M922" t="s">
        <v>45</v>
      </c>
      <c r="N922" t="s">
        <v>31</v>
      </c>
      <c r="O922">
        <v>32.44</v>
      </c>
      <c r="P922">
        <v>36.53</v>
      </c>
      <c r="Q922">
        <v>15.39</v>
      </c>
      <c r="R922">
        <v>31.83</v>
      </c>
      <c r="S922">
        <v>2.67</v>
      </c>
      <c r="T922">
        <v>14.72</v>
      </c>
      <c r="U922">
        <v>7.63</v>
      </c>
      <c r="V922">
        <v>0.81</v>
      </c>
      <c r="W922">
        <v>-2.02</v>
      </c>
      <c r="X922" t="s">
        <v>32</v>
      </c>
      <c r="Y922" t="s">
        <v>40</v>
      </c>
    </row>
    <row r="923" spans="1:25" x14ac:dyDescent="0.3">
      <c r="A923">
        <v>922</v>
      </c>
      <c r="B923" t="s">
        <v>147</v>
      </c>
      <c r="C923" t="s">
        <v>449</v>
      </c>
      <c r="D923" t="s">
        <v>43</v>
      </c>
      <c r="E923" t="s">
        <v>43</v>
      </c>
      <c r="F923">
        <v>4</v>
      </c>
      <c r="G923">
        <v>80</v>
      </c>
      <c r="H923">
        <v>320</v>
      </c>
      <c r="I923">
        <v>30</v>
      </c>
      <c r="J923">
        <v>120</v>
      </c>
      <c r="K923">
        <v>200</v>
      </c>
      <c r="L923" t="s">
        <v>29</v>
      </c>
      <c r="M923" t="s">
        <v>45</v>
      </c>
      <c r="N923" t="s">
        <v>31</v>
      </c>
      <c r="O923">
        <v>19.260000000000002</v>
      </c>
      <c r="P923">
        <v>58.25</v>
      </c>
      <c r="Q923">
        <v>12.67</v>
      </c>
      <c r="R923">
        <v>13.36</v>
      </c>
      <c r="S923">
        <v>1.67</v>
      </c>
      <c r="T923">
        <v>9.52</v>
      </c>
      <c r="U923">
        <v>5.9</v>
      </c>
      <c r="V923">
        <v>0.67</v>
      </c>
      <c r="W923">
        <v>78.7</v>
      </c>
      <c r="X923" t="s">
        <v>66</v>
      </c>
      <c r="Y923" t="s">
        <v>40</v>
      </c>
    </row>
    <row r="924" spans="1:25" x14ac:dyDescent="0.3">
      <c r="A924">
        <v>923</v>
      </c>
      <c r="B924" t="s">
        <v>182</v>
      </c>
      <c r="C924" t="s">
        <v>477</v>
      </c>
      <c r="D924" t="s">
        <v>36</v>
      </c>
      <c r="E924" t="s">
        <v>28</v>
      </c>
      <c r="F924">
        <v>3</v>
      </c>
      <c r="G924">
        <v>220</v>
      </c>
      <c r="H924">
        <v>660</v>
      </c>
      <c r="I924">
        <v>100</v>
      </c>
      <c r="J924">
        <v>300</v>
      </c>
      <c r="K924">
        <v>360</v>
      </c>
      <c r="L924" t="s">
        <v>29</v>
      </c>
      <c r="M924" t="s">
        <v>45</v>
      </c>
      <c r="N924" t="s">
        <v>39</v>
      </c>
      <c r="O924">
        <v>36.89</v>
      </c>
      <c r="P924">
        <v>47.75</v>
      </c>
      <c r="Q924">
        <v>19.93</v>
      </c>
      <c r="R924">
        <v>0.91</v>
      </c>
      <c r="S924">
        <v>3.4</v>
      </c>
      <c r="T924">
        <v>12.11</v>
      </c>
      <c r="U924">
        <v>2.88</v>
      </c>
      <c r="V924">
        <v>1.89</v>
      </c>
      <c r="W924">
        <v>234.24</v>
      </c>
      <c r="X924" t="s">
        <v>32</v>
      </c>
      <c r="Y924" t="s">
        <v>40</v>
      </c>
    </row>
    <row r="925" spans="1:25" x14ac:dyDescent="0.3">
      <c r="A925">
        <v>924</v>
      </c>
      <c r="B925" t="s">
        <v>467</v>
      </c>
      <c r="C925" t="s">
        <v>261</v>
      </c>
      <c r="D925" t="s">
        <v>54</v>
      </c>
      <c r="E925" t="s">
        <v>28</v>
      </c>
      <c r="F925">
        <v>3</v>
      </c>
      <c r="G925">
        <v>120</v>
      </c>
      <c r="H925">
        <v>360</v>
      </c>
      <c r="I925">
        <v>50</v>
      </c>
      <c r="J925">
        <v>150</v>
      </c>
      <c r="K925">
        <v>210</v>
      </c>
      <c r="L925" t="s">
        <v>44</v>
      </c>
      <c r="M925" t="s">
        <v>56</v>
      </c>
      <c r="N925" t="s">
        <v>81</v>
      </c>
      <c r="O925">
        <v>23.73</v>
      </c>
      <c r="P925">
        <v>26.17</v>
      </c>
      <c r="Q925">
        <v>13.54</v>
      </c>
      <c r="R925">
        <v>27.66</v>
      </c>
      <c r="S925">
        <v>4.93</v>
      </c>
      <c r="T925">
        <v>5.5</v>
      </c>
      <c r="U925">
        <v>7.27</v>
      </c>
      <c r="V925">
        <v>0.3</v>
      </c>
      <c r="W925">
        <v>100.9</v>
      </c>
      <c r="X925" t="s">
        <v>57</v>
      </c>
      <c r="Y925" t="s">
        <v>40</v>
      </c>
    </row>
    <row r="926" spans="1:25" x14ac:dyDescent="0.3">
      <c r="A926">
        <v>925</v>
      </c>
      <c r="B926" t="s">
        <v>444</v>
      </c>
      <c r="C926" t="s">
        <v>315</v>
      </c>
      <c r="D926" t="s">
        <v>54</v>
      </c>
      <c r="E926" t="s">
        <v>28</v>
      </c>
      <c r="F926">
        <v>2</v>
      </c>
      <c r="G926">
        <v>120</v>
      </c>
      <c r="H926">
        <v>240</v>
      </c>
      <c r="I926">
        <v>50</v>
      </c>
      <c r="J926">
        <v>100</v>
      </c>
      <c r="K926">
        <v>140</v>
      </c>
      <c r="L926" t="s">
        <v>37</v>
      </c>
      <c r="M926" t="s">
        <v>56</v>
      </c>
      <c r="N926" t="s">
        <v>46</v>
      </c>
      <c r="O926">
        <v>24.6</v>
      </c>
      <c r="P926">
        <v>18.66</v>
      </c>
      <c r="Q926">
        <v>10.47</v>
      </c>
      <c r="R926">
        <v>20.58</v>
      </c>
      <c r="S926">
        <v>1.63</v>
      </c>
      <c r="T926">
        <v>13.78</v>
      </c>
      <c r="U926">
        <v>2.7</v>
      </c>
      <c r="V926">
        <v>2.27</v>
      </c>
      <c r="W926">
        <v>45.31</v>
      </c>
      <c r="X926" t="s">
        <v>32</v>
      </c>
      <c r="Y926" t="s">
        <v>40</v>
      </c>
    </row>
    <row r="927" spans="1:25" x14ac:dyDescent="0.3">
      <c r="A927">
        <v>926</v>
      </c>
      <c r="B927" t="s">
        <v>466</v>
      </c>
      <c r="C927" t="s">
        <v>458</v>
      </c>
      <c r="D927" t="s">
        <v>27</v>
      </c>
      <c r="E927" t="s">
        <v>28</v>
      </c>
      <c r="F927">
        <v>1</v>
      </c>
      <c r="G927">
        <v>200</v>
      </c>
      <c r="H927">
        <v>200</v>
      </c>
      <c r="I927">
        <v>90</v>
      </c>
      <c r="J927">
        <v>90</v>
      </c>
      <c r="K927">
        <v>110</v>
      </c>
      <c r="L927" t="s">
        <v>29</v>
      </c>
      <c r="M927" t="s">
        <v>30</v>
      </c>
      <c r="N927" t="s">
        <v>46</v>
      </c>
      <c r="O927">
        <v>19.97</v>
      </c>
      <c r="P927">
        <v>24.19</v>
      </c>
      <c r="Q927">
        <v>6.69</v>
      </c>
      <c r="R927">
        <v>24.57</v>
      </c>
      <c r="S927">
        <v>4.4800000000000004</v>
      </c>
      <c r="T927">
        <v>2.29</v>
      </c>
      <c r="U927">
        <v>6.64</v>
      </c>
      <c r="V927">
        <v>2.74</v>
      </c>
      <c r="W927">
        <v>18.43</v>
      </c>
      <c r="X927" t="s">
        <v>66</v>
      </c>
      <c r="Y927" t="s">
        <v>40</v>
      </c>
    </row>
    <row r="928" spans="1:25" x14ac:dyDescent="0.3">
      <c r="A928">
        <v>927</v>
      </c>
      <c r="B928" t="s">
        <v>379</v>
      </c>
      <c r="C928" t="s">
        <v>447</v>
      </c>
      <c r="D928" t="s">
        <v>109</v>
      </c>
      <c r="E928" t="s">
        <v>50</v>
      </c>
      <c r="F928">
        <v>3</v>
      </c>
      <c r="G928">
        <v>150</v>
      </c>
      <c r="H928">
        <v>450</v>
      </c>
      <c r="I928">
        <v>70</v>
      </c>
      <c r="J928">
        <v>210</v>
      </c>
      <c r="K928">
        <v>240</v>
      </c>
      <c r="L928" t="s">
        <v>55</v>
      </c>
      <c r="M928" t="s">
        <v>30</v>
      </c>
      <c r="N928" t="s">
        <v>51</v>
      </c>
      <c r="O928">
        <v>30.5</v>
      </c>
      <c r="P928">
        <v>17.64</v>
      </c>
      <c r="Q928">
        <v>13.19</v>
      </c>
      <c r="R928">
        <v>5.7</v>
      </c>
      <c r="S928">
        <v>0.3</v>
      </c>
      <c r="T928">
        <v>13.02</v>
      </c>
      <c r="U928">
        <v>5.24</v>
      </c>
      <c r="V928">
        <v>0.53</v>
      </c>
      <c r="W928">
        <v>153.88</v>
      </c>
      <c r="X928" t="s">
        <v>66</v>
      </c>
      <c r="Y928" t="s">
        <v>33</v>
      </c>
    </row>
    <row r="929" spans="1:25" x14ac:dyDescent="0.3">
      <c r="A929">
        <v>928</v>
      </c>
      <c r="B929" t="s">
        <v>209</v>
      </c>
      <c r="C929" t="s">
        <v>326</v>
      </c>
      <c r="D929" t="s">
        <v>109</v>
      </c>
      <c r="E929" t="s">
        <v>50</v>
      </c>
      <c r="F929">
        <v>1</v>
      </c>
      <c r="G929">
        <v>150</v>
      </c>
      <c r="H929">
        <v>150</v>
      </c>
      <c r="I929">
        <v>70</v>
      </c>
      <c r="J929">
        <v>70</v>
      </c>
      <c r="K929">
        <v>80</v>
      </c>
      <c r="L929" t="s">
        <v>55</v>
      </c>
      <c r="M929" t="s">
        <v>45</v>
      </c>
      <c r="N929" t="s">
        <v>31</v>
      </c>
      <c r="O929">
        <v>26.36</v>
      </c>
      <c r="P929">
        <v>52.81</v>
      </c>
      <c r="Q929">
        <v>8</v>
      </c>
      <c r="R929">
        <v>10.94</v>
      </c>
      <c r="S929">
        <v>1.51</v>
      </c>
      <c r="T929">
        <v>10.130000000000001</v>
      </c>
      <c r="U929">
        <v>2.58</v>
      </c>
      <c r="V929">
        <v>0.87</v>
      </c>
      <c r="W929">
        <v>-33.200000000000003</v>
      </c>
      <c r="X929" t="s">
        <v>57</v>
      </c>
      <c r="Y929" t="s">
        <v>40</v>
      </c>
    </row>
    <row r="930" spans="1:25" x14ac:dyDescent="0.3">
      <c r="A930">
        <v>929</v>
      </c>
      <c r="B930" t="s">
        <v>214</v>
      </c>
      <c r="C930" t="s">
        <v>517</v>
      </c>
      <c r="D930" t="s">
        <v>62</v>
      </c>
      <c r="E930" t="s">
        <v>28</v>
      </c>
      <c r="F930">
        <v>4</v>
      </c>
      <c r="G930">
        <v>250</v>
      </c>
      <c r="H930">
        <v>1000</v>
      </c>
      <c r="I930">
        <v>110</v>
      </c>
      <c r="J930">
        <v>440</v>
      </c>
      <c r="K930">
        <v>560</v>
      </c>
      <c r="L930" t="s">
        <v>55</v>
      </c>
      <c r="M930" t="s">
        <v>56</v>
      </c>
      <c r="N930" t="s">
        <v>90</v>
      </c>
      <c r="O930">
        <v>35.130000000000003</v>
      </c>
      <c r="P930">
        <v>28.88</v>
      </c>
      <c r="Q930">
        <v>17.8</v>
      </c>
      <c r="R930">
        <v>7.17</v>
      </c>
      <c r="S930">
        <v>4.37</v>
      </c>
      <c r="T930">
        <v>13.06</v>
      </c>
      <c r="U930">
        <v>6.94</v>
      </c>
      <c r="V930">
        <v>2.5499999999999998</v>
      </c>
      <c r="W930">
        <v>444.1</v>
      </c>
      <c r="X930" t="s">
        <v>57</v>
      </c>
      <c r="Y930" t="s">
        <v>33</v>
      </c>
    </row>
    <row r="931" spans="1:25" x14ac:dyDescent="0.3">
      <c r="A931">
        <v>930</v>
      </c>
      <c r="B931" t="s">
        <v>243</v>
      </c>
      <c r="C931" t="s">
        <v>244</v>
      </c>
      <c r="D931" t="s">
        <v>109</v>
      </c>
      <c r="E931" t="s">
        <v>50</v>
      </c>
      <c r="F931">
        <v>2</v>
      </c>
      <c r="G931">
        <v>150</v>
      </c>
      <c r="H931">
        <v>300</v>
      </c>
      <c r="I931">
        <v>70</v>
      </c>
      <c r="J931">
        <v>140</v>
      </c>
      <c r="K931">
        <v>160</v>
      </c>
      <c r="L931" t="s">
        <v>37</v>
      </c>
      <c r="M931" t="s">
        <v>63</v>
      </c>
      <c r="N931" t="s">
        <v>51</v>
      </c>
      <c r="O931">
        <v>29.33</v>
      </c>
      <c r="P931">
        <v>21.71</v>
      </c>
      <c r="Q931">
        <v>19</v>
      </c>
      <c r="R931">
        <v>18.8</v>
      </c>
      <c r="S931">
        <v>3.22</v>
      </c>
      <c r="T931">
        <v>13.33</v>
      </c>
      <c r="U931">
        <v>7.26</v>
      </c>
      <c r="V931">
        <v>2.68</v>
      </c>
      <c r="W931">
        <v>44.67</v>
      </c>
      <c r="X931" t="s">
        <v>32</v>
      </c>
      <c r="Y931" t="s">
        <v>40</v>
      </c>
    </row>
    <row r="932" spans="1:25" x14ac:dyDescent="0.3">
      <c r="A932">
        <v>931</v>
      </c>
      <c r="B932" t="s">
        <v>227</v>
      </c>
      <c r="C932" t="s">
        <v>224</v>
      </c>
      <c r="D932" t="s">
        <v>54</v>
      </c>
      <c r="E932" t="s">
        <v>28</v>
      </c>
      <c r="F932">
        <v>2</v>
      </c>
      <c r="G932">
        <v>120</v>
      </c>
      <c r="H932">
        <v>240</v>
      </c>
      <c r="I932">
        <v>50</v>
      </c>
      <c r="J932">
        <v>100</v>
      </c>
      <c r="K932">
        <v>140</v>
      </c>
      <c r="L932" t="s">
        <v>37</v>
      </c>
      <c r="M932" t="s">
        <v>30</v>
      </c>
      <c r="N932" t="s">
        <v>39</v>
      </c>
      <c r="O932">
        <v>12.85</v>
      </c>
      <c r="P932">
        <v>21.29</v>
      </c>
      <c r="Q932">
        <v>16.09</v>
      </c>
      <c r="R932">
        <v>11.2</v>
      </c>
      <c r="S932">
        <v>3.15</v>
      </c>
      <c r="T932">
        <v>7.91</v>
      </c>
      <c r="U932">
        <v>6.03</v>
      </c>
      <c r="V932">
        <v>2.0099999999999998</v>
      </c>
      <c r="W932">
        <v>59.47</v>
      </c>
      <c r="X932" t="s">
        <v>32</v>
      </c>
      <c r="Y932" t="s">
        <v>33</v>
      </c>
    </row>
    <row r="933" spans="1:25" x14ac:dyDescent="0.3">
      <c r="A933">
        <v>932</v>
      </c>
      <c r="B933" t="s">
        <v>327</v>
      </c>
      <c r="C933" t="s">
        <v>114</v>
      </c>
      <c r="D933" t="s">
        <v>49</v>
      </c>
      <c r="E933" t="s">
        <v>50</v>
      </c>
      <c r="F933">
        <v>2</v>
      </c>
      <c r="G933">
        <v>180</v>
      </c>
      <c r="H933">
        <v>360</v>
      </c>
      <c r="I933">
        <v>90</v>
      </c>
      <c r="J933">
        <v>180</v>
      </c>
      <c r="K933">
        <v>180</v>
      </c>
      <c r="L933" t="s">
        <v>37</v>
      </c>
      <c r="M933" t="s">
        <v>38</v>
      </c>
      <c r="N933" t="s">
        <v>51</v>
      </c>
      <c r="O933">
        <v>39.14</v>
      </c>
      <c r="P933">
        <v>45.12</v>
      </c>
      <c r="Q933">
        <v>12.75</v>
      </c>
      <c r="R933">
        <v>27.03</v>
      </c>
      <c r="S933">
        <v>3.83</v>
      </c>
      <c r="T933">
        <v>14.78</v>
      </c>
      <c r="U933">
        <v>7.61</v>
      </c>
      <c r="V933">
        <v>0.81</v>
      </c>
      <c r="W933">
        <v>28.93</v>
      </c>
      <c r="X933" t="s">
        <v>32</v>
      </c>
      <c r="Y933" t="s">
        <v>33</v>
      </c>
    </row>
    <row r="934" spans="1:25" x14ac:dyDescent="0.3">
      <c r="A934">
        <v>933</v>
      </c>
      <c r="B934" t="s">
        <v>431</v>
      </c>
      <c r="C934" t="s">
        <v>124</v>
      </c>
      <c r="D934" t="s">
        <v>54</v>
      </c>
      <c r="E934" t="s">
        <v>28</v>
      </c>
      <c r="F934">
        <v>1</v>
      </c>
      <c r="G934">
        <v>120</v>
      </c>
      <c r="H934">
        <v>120</v>
      </c>
      <c r="I934">
        <v>50</v>
      </c>
      <c r="J934">
        <v>50</v>
      </c>
      <c r="K934">
        <v>70</v>
      </c>
      <c r="L934" t="s">
        <v>86</v>
      </c>
      <c r="M934" t="s">
        <v>63</v>
      </c>
      <c r="N934" t="s">
        <v>46</v>
      </c>
      <c r="O934">
        <v>13.09</v>
      </c>
      <c r="P934">
        <v>28.91</v>
      </c>
      <c r="Q934">
        <v>8.24</v>
      </c>
      <c r="R934">
        <v>6.63</v>
      </c>
      <c r="S934">
        <v>3.83</v>
      </c>
      <c r="T934">
        <v>14.89</v>
      </c>
      <c r="U934">
        <v>3.93</v>
      </c>
      <c r="V934">
        <v>0.44</v>
      </c>
      <c r="W934">
        <v>-9.9600000000000009</v>
      </c>
      <c r="X934" t="s">
        <v>57</v>
      </c>
      <c r="Y934" t="s">
        <v>40</v>
      </c>
    </row>
    <row r="935" spans="1:25" x14ac:dyDescent="0.3">
      <c r="A935">
        <v>934</v>
      </c>
      <c r="B935" t="s">
        <v>440</v>
      </c>
      <c r="C935" t="s">
        <v>441</v>
      </c>
      <c r="D935" t="s">
        <v>89</v>
      </c>
      <c r="E935" t="s">
        <v>28</v>
      </c>
      <c r="F935">
        <v>3</v>
      </c>
      <c r="G935">
        <v>180</v>
      </c>
      <c r="H935">
        <v>540</v>
      </c>
      <c r="I935">
        <v>75</v>
      </c>
      <c r="J935">
        <v>225</v>
      </c>
      <c r="K935">
        <v>315</v>
      </c>
      <c r="L935" t="s">
        <v>55</v>
      </c>
      <c r="M935" t="s">
        <v>45</v>
      </c>
      <c r="N935" t="s">
        <v>39</v>
      </c>
      <c r="O935">
        <v>29.74</v>
      </c>
      <c r="P935">
        <v>51.48</v>
      </c>
      <c r="Q935">
        <v>12.69</v>
      </c>
      <c r="R935">
        <v>34.36</v>
      </c>
      <c r="S935">
        <v>0.44</v>
      </c>
      <c r="T935">
        <v>2.96</v>
      </c>
      <c r="U935">
        <v>5.05</v>
      </c>
      <c r="V935">
        <v>1.1000000000000001</v>
      </c>
      <c r="W935">
        <v>177.18</v>
      </c>
      <c r="X935" t="s">
        <v>66</v>
      </c>
      <c r="Y935" t="s">
        <v>40</v>
      </c>
    </row>
    <row r="936" spans="1:25" x14ac:dyDescent="0.3">
      <c r="A936">
        <v>935</v>
      </c>
      <c r="B936" t="s">
        <v>342</v>
      </c>
      <c r="C936" t="s">
        <v>98</v>
      </c>
      <c r="D936" t="s">
        <v>36</v>
      </c>
      <c r="E936" t="s">
        <v>28</v>
      </c>
      <c r="F936">
        <v>3</v>
      </c>
      <c r="G936">
        <v>220</v>
      </c>
      <c r="H936">
        <v>660</v>
      </c>
      <c r="I936">
        <v>100</v>
      </c>
      <c r="J936">
        <v>300</v>
      </c>
      <c r="K936">
        <v>360</v>
      </c>
      <c r="L936" t="s">
        <v>44</v>
      </c>
      <c r="M936" t="s">
        <v>63</v>
      </c>
      <c r="N936" t="s">
        <v>31</v>
      </c>
      <c r="O936">
        <v>10.130000000000001</v>
      </c>
      <c r="P936">
        <v>55.53</v>
      </c>
      <c r="Q936">
        <v>5.34</v>
      </c>
      <c r="R936">
        <v>24.73</v>
      </c>
      <c r="S936">
        <v>2.79</v>
      </c>
      <c r="T936">
        <v>3.71</v>
      </c>
      <c r="U936">
        <v>2.95</v>
      </c>
      <c r="V936">
        <v>0.43</v>
      </c>
      <c r="W936">
        <v>254.39</v>
      </c>
      <c r="X936" t="s">
        <v>32</v>
      </c>
      <c r="Y936" t="s">
        <v>40</v>
      </c>
    </row>
    <row r="937" spans="1:25" x14ac:dyDescent="0.3">
      <c r="A937">
        <v>936</v>
      </c>
      <c r="B937" t="s">
        <v>467</v>
      </c>
      <c r="C937" t="s">
        <v>458</v>
      </c>
      <c r="D937" t="s">
        <v>62</v>
      </c>
      <c r="E937" t="s">
        <v>28</v>
      </c>
      <c r="F937">
        <v>3</v>
      </c>
      <c r="G937">
        <v>250</v>
      </c>
      <c r="H937">
        <v>750</v>
      </c>
      <c r="I937">
        <v>110</v>
      </c>
      <c r="J937">
        <v>330</v>
      </c>
      <c r="K937">
        <v>420</v>
      </c>
      <c r="L937" t="s">
        <v>55</v>
      </c>
      <c r="M937" t="s">
        <v>30</v>
      </c>
      <c r="N937" t="s">
        <v>51</v>
      </c>
      <c r="O937">
        <v>24.35</v>
      </c>
      <c r="P937">
        <v>39.96</v>
      </c>
      <c r="Q937">
        <v>12.64</v>
      </c>
      <c r="R937">
        <v>8.58</v>
      </c>
      <c r="S937">
        <v>1.52</v>
      </c>
      <c r="T937">
        <v>10.02</v>
      </c>
      <c r="U937">
        <v>6.31</v>
      </c>
      <c r="V937">
        <v>1.69</v>
      </c>
      <c r="W937">
        <v>314.93</v>
      </c>
      <c r="X937" t="s">
        <v>32</v>
      </c>
      <c r="Y937" t="s">
        <v>33</v>
      </c>
    </row>
    <row r="938" spans="1:25" x14ac:dyDescent="0.3">
      <c r="A938">
        <v>937</v>
      </c>
      <c r="B938" t="s">
        <v>264</v>
      </c>
      <c r="C938" t="s">
        <v>283</v>
      </c>
      <c r="D938" t="s">
        <v>43</v>
      </c>
      <c r="E938" t="s">
        <v>43</v>
      </c>
      <c r="F938">
        <v>2</v>
      </c>
      <c r="G938">
        <v>80</v>
      </c>
      <c r="H938">
        <v>160</v>
      </c>
      <c r="I938">
        <v>30</v>
      </c>
      <c r="J938">
        <v>60</v>
      </c>
      <c r="K938">
        <v>100</v>
      </c>
      <c r="L938" t="s">
        <v>86</v>
      </c>
      <c r="M938" t="s">
        <v>63</v>
      </c>
      <c r="N938" t="s">
        <v>81</v>
      </c>
      <c r="O938">
        <v>15.81</v>
      </c>
      <c r="P938">
        <v>41.75</v>
      </c>
      <c r="Q938">
        <v>14.51</v>
      </c>
      <c r="R938">
        <v>34.47</v>
      </c>
      <c r="S938">
        <v>0.42</v>
      </c>
      <c r="T938">
        <v>10.39</v>
      </c>
      <c r="U938">
        <v>4.5999999999999996</v>
      </c>
      <c r="V938">
        <v>1.7</v>
      </c>
      <c r="W938">
        <v>-23.65</v>
      </c>
      <c r="X938" t="s">
        <v>66</v>
      </c>
      <c r="Y938" t="s">
        <v>40</v>
      </c>
    </row>
    <row r="939" spans="1:25" x14ac:dyDescent="0.3">
      <c r="A939">
        <v>938</v>
      </c>
      <c r="B939" t="s">
        <v>195</v>
      </c>
      <c r="C939" t="s">
        <v>511</v>
      </c>
      <c r="D939" t="s">
        <v>109</v>
      </c>
      <c r="E939" t="s">
        <v>50</v>
      </c>
      <c r="F939">
        <v>4</v>
      </c>
      <c r="G939">
        <v>150</v>
      </c>
      <c r="H939">
        <v>600</v>
      </c>
      <c r="I939">
        <v>70</v>
      </c>
      <c r="J939">
        <v>280</v>
      </c>
      <c r="K939">
        <v>320</v>
      </c>
      <c r="L939" t="s">
        <v>86</v>
      </c>
      <c r="M939" t="s">
        <v>56</v>
      </c>
      <c r="N939" t="s">
        <v>31</v>
      </c>
      <c r="O939">
        <v>33.01</v>
      </c>
      <c r="P939">
        <v>31.62</v>
      </c>
      <c r="Q939">
        <v>11.15</v>
      </c>
      <c r="R939">
        <v>15.89</v>
      </c>
      <c r="S939">
        <v>3.15</v>
      </c>
      <c r="T939">
        <v>6.08</v>
      </c>
      <c r="U939">
        <v>1.1599999999999999</v>
      </c>
      <c r="V939">
        <v>1.42</v>
      </c>
      <c r="W939">
        <v>216.52</v>
      </c>
      <c r="X939" t="s">
        <v>57</v>
      </c>
      <c r="Y939" t="s">
        <v>33</v>
      </c>
    </row>
    <row r="940" spans="1:25" x14ac:dyDescent="0.3">
      <c r="A940">
        <v>939</v>
      </c>
      <c r="B940" t="s">
        <v>433</v>
      </c>
      <c r="C940" t="s">
        <v>465</v>
      </c>
      <c r="D940" t="s">
        <v>54</v>
      </c>
      <c r="E940" t="s">
        <v>28</v>
      </c>
      <c r="F940">
        <v>2</v>
      </c>
      <c r="G940">
        <v>120</v>
      </c>
      <c r="H940">
        <v>240</v>
      </c>
      <c r="I940">
        <v>50</v>
      </c>
      <c r="J940">
        <v>100</v>
      </c>
      <c r="K940">
        <v>140</v>
      </c>
      <c r="L940" t="s">
        <v>86</v>
      </c>
      <c r="M940" t="s">
        <v>38</v>
      </c>
      <c r="N940" t="s">
        <v>90</v>
      </c>
      <c r="O940">
        <v>24.26</v>
      </c>
      <c r="P940">
        <v>18.87</v>
      </c>
      <c r="Q940">
        <v>12.67</v>
      </c>
      <c r="R940">
        <v>14.23</v>
      </c>
      <c r="S940">
        <v>1.87</v>
      </c>
      <c r="T940">
        <v>14.74</v>
      </c>
      <c r="U940">
        <v>1.85</v>
      </c>
      <c r="V940">
        <v>1.2</v>
      </c>
      <c r="W940">
        <v>50.31</v>
      </c>
      <c r="X940" t="s">
        <v>66</v>
      </c>
      <c r="Y940" t="s">
        <v>40</v>
      </c>
    </row>
    <row r="941" spans="1:25" x14ac:dyDescent="0.3">
      <c r="A941">
        <v>940</v>
      </c>
      <c r="B941" t="s">
        <v>342</v>
      </c>
      <c r="C941" t="s">
        <v>360</v>
      </c>
      <c r="D941" t="s">
        <v>36</v>
      </c>
      <c r="E941" t="s">
        <v>28</v>
      </c>
      <c r="F941">
        <v>1</v>
      </c>
      <c r="G941">
        <v>220</v>
      </c>
      <c r="H941">
        <v>220</v>
      </c>
      <c r="I941">
        <v>100</v>
      </c>
      <c r="J941">
        <v>100</v>
      </c>
      <c r="K941">
        <v>120</v>
      </c>
      <c r="L941" t="s">
        <v>55</v>
      </c>
      <c r="M941" t="s">
        <v>63</v>
      </c>
      <c r="N941" t="s">
        <v>90</v>
      </c>
      <c r="O941">
        <v>25.18</v>
      </c>
      <c r="P941">
        <v>15.47</v>
      </c>
      <c r="Q941">
        <v>19.149999999999999</v>
      </c>
      <c r="R941">
        <v>34.770000000000003</v>
      </c>
      <c r="S941">
        <v>3.14</v>
      </c>
      <c r="T941">
        <v>9.74</v>
      </c>
      <c r="U941">
        <v>7.32</v>
      </c>
      <c r="V941">
        <v>1.3</v>
      </c>
      <c r="W941">
        <v>3.93</v>
      </c>
      <c r="X941" t="s">
        <v>32</v>
      </c>
      <c r="Y941" t="s">
        <v>33</v>
      </c>
    </row>
    <row r="942" spans="1:25" x14ac:dyDescent="0.3">
      <c r="A942">
        <v>941</v>
      </c>
      <c r="B942" t="s">
        <v>301</v>
      </c>
      <c r="C942" t="s">
        <v>371</v>
      </c>
      <c r="D942" t="s">
        <v>89</v>
      </c>
      <c r="E942" t="s">
        <v>28</v>
      </c>
      <c r="F942">
        <v>2</v>
      </c>
      <c r="G942">
        <v>180</v>
      </c>
      <c r="H942">
        <v>360</v>
      </c>
      <c r="I942">
        <v>75</v>
      </c>
      <c r="J942">
        <v>150</v>
      </c>
      <c r="K942">
        <v>210</v>
      </c>
      <c r="L942" t="s">
        <v>86</v>
      </c>
      <c r="M942" t="s">
        <v>63</v>
      </c>
      <c r="N942" t="s">
        <v>81</v>
      </c>
      <c r="O942">
        <v>12.04</v>
      </c>
      <c r="P942">
        <v>47.69</v>
      </c>
      <c r="Q942">
        <v>5.88</v>
      </c>
      <c r="R942">
        <v>34.82</v>
      </c>
      <c r="S942">
        <v>1.45</v>
      </c>
      <c r="T942">
        <v>4.82</v>
      </c>
      <c r="U942">
        <v>6.5</v>
      </c>
      <c r="V942">
        <v>2.97</v>
      </c>
      <c r="W942">
        <v>93.83</v>
      </c>
      <c r="X942" t="s">
        <v>32</v>
      </c>
      <c r="Y942" t="s">
        <v>33</v>
      </c>
    </row>
    <row r="943" spans="1:25" x14ac:dyDescent="0.3">
      <c r="A943">
        <v>942</v>
      </c>
      <c r="B943" t="s">
        <v>398</v>
      </c>
      <c r="C943" t="s">
        <v>260</v>
      </c>
      <c r="D943" t="s">
        <v>49</v>
      </c>
      <c r="E943" t="s">
        <v>50</v>
      </c>
      <c r="F943">
        <v>1</v>
      </c>
      <c r="G943">
        <v>180</v>
      </c>
      <c r="H943">
        <v>180</v>
      </c>
      <c r="I943">
        <v>90</v>
      </c>
      <c r="J943">
        <v>90</v>
      </c>
      <c r="K943">
        <v>90</v>
      </c>
      <c r="L943" t="s">
        <v>37</v>
      </c>
      <c r="M943" t="s">
        <v>45</v>
      </c>
      <c r="N943" t="s">
        <v>51</v>
      </c>
      <c r="O943">
        <v>36.18</v>
      </c>
      <c r="P943">
        <v>35.06</v>
      </c>
      <c r="Q943">
        <v>13.07</v>
      </c>
      <c r="R943">
        <v>21.76</v>
      </c>
      <c r="S943">
        <v>3.82</v>
      </c>
      <c r="T943">
        <v>9.93</v>
      </c>
      <c r="U943">
        <v>3.83</v>
      </c>
      <c r="V943">
        <v>0.15</v>
      </c>
      <c r="W943">
        <v>-33.799999999999997</v>
      </c>
      <c r="X943" t="s">
        <v>32</v>
      </c>
      <c r="Y943" t="s">
        <v>40</v>
      </c>
    </row>
    <row r="944" spans="1:25" x14ac:dyDescent="0.3">
      <c r="A944">
        <v>943</v>
      </c>
      <c r="B944" t="s">
        <v>149</v>
      </c>
      <c r="C944" t="s">
        <v>552</v>
      </c>
      <c r="D944" t="s">
        <v>36</v>
      </c>
      <c r="E944" t="s">
        <v>28</v>
      </c>
      <c r="F944">
        <v>1</v>
      </c>
      <c r="G944">
        <v>220</v>
      </c>
      <c r="H944">
        <v>220</v>
      </c>
      <c r="I944">
        <v>100</v>
      </c>
      <c r="J944">
        <v>100</v>
      </c>
      <c r="K944">
        <v>120</v>
      </c>
      <c r="L944" t="s">
        <v>37</v>
      </c>
      <c r="M944" t="s">
        <v>45</v>
      </c>
      <c r="N944" t="s">
        <v>51</v>
      </c>
      <c r="O944">
        <v>25.11</v>
      </c>
      <c r="P944">
        <v>50.1</v>
      </c>
      <c r="Q944">
        <v>14.64</v>
      </c>
      <c r="R944">
        <v>34.18</v>
      </c>
      <c r="S944">
        <v>2.2000000000000002</v>
      </c>
      <c r="T944">
        <v>6.03</v>
      </c>
      <c r="U944">
        <v>2.91</v>
      </c>
      <c r="V944">
        <v>0.02</v>
      </c>
      <c r="W944">
        <v>-15.19</v>
      </c>
      <c r="X944" t="s">
        <v>66</v>
      </c>
      <c r="Y944" t="s">
        <v>40</v>
      </c>
    </row>
    <row r="945" spans="1:25" x14ac:dyDescent="0.3">
      <c r="A945">
        <v>944</v>
      </c>
      <c r="B945" t="s">
        <v>123</v>
      </c>
      <c r="C945" t="s">
        <v>223</v>
      </c>
      <c r="D945" t="s">
        <v>89</v>
      </c>
      <c r="E945" t="s">
        <v>28</v>
      </c>
      <c r="F945">
        <v>3</v>
      </c>
      <c r="G945">
        <v>180</v>
      </c>
      <c r="H945">
        <v>540</v>
      </c>
      <c r="I945">
        <v>75</v>
      </c>
      <c r="J945">
        <v>225</v>
      </c>
      <c r="K945">
        <v>315</v>
      </c>
      <c r="L945" t="s">
        <v>29</v>
      </c>
      <c r="M945" t="s">
        <v>38</v>
      </c>
      <c r="N945" t="s">
        <v>51</v>
      </c>
      <c r="O945">
        <v>38.67</v>
      </c>
      <c r="P945">
        <v>41.86</v>
      </c>
      <c r="Q945">
        <v>9.0299999999999994</v>
      </c>
      <c r="R945">
        <v>2.58</v>
      </c>
      <c r="S945">
        <v>4.1100000000000003</v>
      </c>
      <c r="T945">
        <v>2.48</v>
      </c>
      <c r="U945">
        <v>1.35</v>
      </c>
      <c r="V945">
        <v>2.1</v>
      </c>
      <c r="W945">
        <v>212.82</v>
      </c>
      <c r="X945" t="s">
        <v>57</v>
      </c>
      <c r="Y945" t="s">
        <v>40</v>
      </c>
    </row>
    <row r="946" spans="1:25" x14ac:dyDescent="0.3">
      <c r="A946">
        <v>945</v>
      </c>
      <c r="B946" t="s">
        <v>309</v>
      </c>
      <c r="C946" t="s">
        <v>345</v>
      </c>
      <c r="D946" t="s">
        <v>109</v>
      </c>
      <c r="E946" t="s">
        <v>50</v>
      </c>
      <c r="F946">
        <v>2</v>
      </c>
      <c r="G946">
        <v>150</v>
      </c>
      <c r="H946">
        <v>300</v>
      </c>
      <c r="I946">
        <v>70</v>
      </c>
      <c r="J946">
        <v>140</v>
      </c>
      <c r="K946">
        <v>160</v>
      </c>
      <c r="L946" t="s">
        <v>86</v>
      </c>
      <c r="M946" t="s">
        <v>45</v>
      </c>
      <c r="N946" t="s">
        <v>81</v>
      </c>
      <c r="O946">
        <v>37.340000000000003</v>
      </c>
      <c r="P946">
        <v>41.6</v>
      </c>
      <c r="Q946">
        <v>16.64</v>
      </c>
      <c r="R946">
        <v>33.78</v>
      </c>
      <c r="S946">
        <v>0.36</v>
      </c>
      <c r="T946">
        <v>5.1100000000000003</v>
      </c>
      <c r="U946">
        <v>1.03</v>
      </c>
      <c r="V946">
        <v>1.44</v>
      </c>
      <c r="W946">
        <v>22.7</v>
      </c>
      <c r="X946" t="s">
        <v>32</v>
      </c>
      <c r="Y946" t="s">
        <v>40</v>
      </c>
    </row>
    <row r="947" spans="1:25" x14ac:dyDescent="0.3">
      <c r="A947">
        <v>946</v>
      </c>
      <c r="B947" t="s">
        <v>531</v>
      </c>
      <c r="C947" t="s">
        <v>190</v>
      </c>
      <c r="D947" t="s">
        <v>54</v>
      </c>
      <c r="E947" t="s">
        <v>28</v>
      </c>
      <c r="F947">
        <v>1</v>
      </c>
      <c r="G947">
        <v>120</v>
      </c>
      <c r="H947">
        <v>120</v>
      </c>
      <c r="I947">
        <v>50</v>
      </c>
      <c r="J947">
        <v>50</v>
      </c>
      <c r="K947">
        <v>70</v>
      </c>
      <c r="L947" t="s">
        <v>86</v>
      </c>
      <c r="M947" t="s">
        <v>38</v>
      </c>
      <c r="N947" t="s">
        <v>51</v>
      </c>
      <c r="O947">
        <v>29.21</v>
      </c>
      <c r="P947">
        <v>48.37</v>
      </c>
      <c r="Q947">
        <v>7.81</v>
      </c>
      <c r="R947">
        <v>30.38</v>
      </c>
      <c r="S947">
        <v>2.3199999999999998</v>
      </c>
      <c r="T947">
        <v>4.33</v>
      </c>
      <c r="U947">
        <v>6.57</v>
      </c>
      <c r="V947">
        <v>1.84</v>
      </c>
      <c r="W947">
        <v>-60.83</v>
      </c>
      <c r="X947" t="s">
        <v>57</v>
      </c>
      <c r="Y947" t="s">
        <v>40</v>
      </c>
    </row>
    <row r="948" spans="1:25" x14ac:dyDescent="0.3">
      <c r="A948">
        <v>947</v>
      </c>
      <c r="B948" t="s">
        <v>219</v>
      </c>
      <c r="C948" t="s">
        <v>494</v>
      </c>
      <c r="D948" t="s">
        <v>49</v>
      </c>
      <c r="E948" t="s">
        <v>50</v>
      </c>
      <c r="F948">
        <v>1</v>
      </c>
      <c r="G948">
        <v>180</v>
      </c>
      <c r="H948">
        <v>180</v>
      </c>
      <c r="I948">
        <v>90</v>
      </c>
      <c r="J948">
        <v>90</v>
      </c>
      <c r="K948">
        <v>90</v>
      </c>
      <c r="L948" t="s">
        <v>44</v>
      </c>
      <c r="M948" t="s">
        <v>38</v>
      </c>
      <c r="N948" t="s">
        <v>39</v>
      </c>
      <c r="O948">
        <v>18.86</v>
      </c>
      <c r="P948">
        <v>48.31</v>
      </c>
      <c r="Q948">
        <v>6.82</v>
      </c>
      <c r="R948">
        <v>14.42</v>
      </c>
      <c r="S948">
        <v>1.96</v>
      </c>
      <c r="T948">
        <v>11.06</v>
      </c>
      <c r="U948">
        <v>7.99</v>
      </c>
      <c r="V948">
        <v>0.02</v>
      </c>
      <c r="W948">
        <v>-19.440000000000001</v>
      </c>
      <c r="X948" t="s">
        <v>32</v>
      </c>
      <c r="Y948" t="s">
        <v>33</v>
      </c>
    </row>
    <row r="949" spans="1:25" x14ac:dyDescent="0.3">
      <c r="A949">
        <v>948</v>
      </c>
      <c r="B949" t="s">
        <v>143</v>
      </c>
      <c r="C949" t="s">
        <v>519</v>
      </c>
      <c r="D949" t="s">
        <v>89</v>
      </c>
      <c r="E949" t="s">
        <v>28</v>
      </c>
      <c r="F949">
        <v>1</v>
      </c>
      <c r="G949">
        <v>180</v>
      </c>
      <c r="H949">
        <v>180</v>
      </c>
      <c r="I949">
        <v>75</v>
      </c>
      <c r="J949">
        <v>75</v>
      </c>
      <c r="K949">
        <v>105</v>
      </c>
      <c r="L949" t="s">
        <v>44</v>
      </c>
      <c r="M949" t="s">
        <v>63</v>
      </c>
      <c r="N949" t="s">
        <v>81</v>
      </c>
      <c r="O949">
        <v>37.25</v>
      </c>
      <c r="P949">
        <v>29.67</v>
      </c>
      <c r="Q949">
        <v>7.43</v>
      </c>
      <c r="R949">
        <v>26.53</v>
      </c>
      <c r="S949">
        <v>0.93</v>
      </c>
      <c r="T949">
        <v>9.0399999999999991</v>
      </c>
      <c r="U949">
        <v>4.47</v>
      </c>
      <c r="V949">
        <v>1.4</v>
      </c>
      <c r="W949">
        <v>-11.72</v>
      </c>
      <c r="X949" t="s">
        <v>66</v>
      </c>
      <c r="Y949" t="s">
        <v>40</v>
      </c>
    </row>
    <row r="950" spans="1:25" x14ac:dyDescent="0.3">
      <c r="A950">
        <v>949</v>
      </c>
      <c r="B950" t="s">
        <v>414</v>
      </c>
      <c r="C950" t="s">
        <v>270</v>
      </c>
      <c r="D950" t="s">
        <v>62</v>
      </c>
      <c r="E950" t="s">
        <v>28</v>
      </c>
      <c r="F950">
        <v>2</v>
      </c>
      <c r="G950">
        <v>250</v>
      </c>
      <c r="H950">
        <v>500</v>
      </c>
      <c r="I950">
        <v>110</v>
      </c>
      <c r="J950">
        <v>220</v>
      </c>
      <c r="K950">
        <v>280</v>
      </c>
      <c r="L950" t="s">
        <v>86</v>
      </c>
      <c r="M950" t="s">
        <v>45</v>
      </c>
      <c r="N950" t="s">
        <v>31</v>
      </c>
      <c r="O950">
        <v>16.690000000000001</v>
      </c>
      <c r="P950">
        <v>52.63</v>
      </c>
      <c r="Q950">
        <v>14.92</v>
      </c>
      <c r="R950">
        <v>9.02</v>
      </c>
      <c r="S950">
        <v>1.27</v>
      </c>
      <c r="T950">
        <v>14.25</v>
      </c>
      <c r="U950">
        <v>2.62</v>
      </c>
      <c r="V950">
        <v>2.16</v>
      </c>
      <c r="W950">
        <v>166.44</v>
      </c>
      <c r="X950" t="s">
        <v>32</v>
      </c>
      <c r="Y950" t="s">
        <v>33</v>
      </c>
    </row>
    <row r="951" spans="1:25" x14ac:dyDescent="0.3">
      <c r="A951">
        <v>950</v>
      </c>
      <c r="B951" t="s">
        <v>134</v>
      </c>
      <c r="C951" t="s">
        <v>294</v>
      </c>
      <c r="D951" t="s">
        <v>43</v>
      </c>
      <c r="E951" t="s">
        <v>43</v>
      </c>
      <c r="F951">
        <v>4</v>
      </c>
      <c r="G951">
        <v>80</v>
      </c>
      <c r="H951">
        <v>320</v>
      </c>
      <c r="I951">
        <v>30</v>
      </c>
      <c r="J951">
        <v>120</v>
      </c>
      <c r="K951">
        <v>200</v>
      </c>
      <c r="L951" t="s">
        <v>37</v>
      </c>
      <c r="M951" t="s">
        <v>45</v>
      </c>
      <c r="N951" t="s">
        <v>46</v>
      </c>
      <c r="O951">
        <v>29.54</v>
      </c>
      <c r="P951">
        <v>56.84</v>
      </c>
      <c r="Q951">
        <v>8.7899999999999991</v>
      </c>
      <c r="R951">
        <v>26.69</v>
      </c>
      <c r="S951">
        <v>1.22</v>
      </c>
      <c r="T951">
        <v>3.85</v>
      </c>
      <c r="U951">
        <v>2.97</v>
      </c>
      <c r="V951">
        <v>2.06</v>
      </c>
      <c r="W951">
        <v>68.040000000000006</v>
      </c>
      <c r="X951" t="s">
        <v>32</v>
      </c>
      <c r="Y951" t="s">
        <v>33</v>
      </c>
    </row>
    <row r="952" spans="1:25" x14ac:dyDescent="0.3">
      <c r="A952">
        <v>951</v>
      </c>
      <c r="B952" t="s">
        <v>317</v>
      </c>
      <c r="C952" t="s">
        <v>185</v>
      </c>
      <c r="D952" t="s">
        <v>43</v>
      </c>
      <c r="E952" t="s">
        <v>43</v>
      </c>
      <c r="F952">
        <v>4</v>
      </c>
      <c r="G952">
        <v>80</v>
      </c>
      <c r="H952">
        <v>320</v>
      </c>
      <c r="I952">
        <v>30</v>
      </c>
      <c r="J952">
        <v>120</v>
      </c>
      <c r="K952">
        <v>200</v>
      </c>
      <c r="L952" t="s">
        <v>44</v>
      </c>
      <c r="M952" t="s">
        <v>63</v>
      </c>
      <c r="N952" t="s">
        <v>39</v>
      </c>
      <c r="O952">
        <v>23.54</v>
      </c>
      <c r="P952">
        <v>35.909999999999997</v>
      </c>
      <c r="Q952">
        <v>11.65</v>
      </c>
      <c r="R952">
        <v>6.45</v>
      </c>
      <c r="S952">
        <v>0.16</v>
      </c>
      <c r="T952">
        <v>9.8699999999999992</v>
      </c>
      <c r="U952">
        <v>6.63</v>
      </c>
      <c r="V952">
        <v>1.28</v>
      </c>
      <c r="W952">
        <v>104.51</v>
      </c>
      <c r="X952" t="s">
        <v>66</v>
      </c>
      <c r="Y952" t="s">
        <v>40</v>
      </c>
    </row>
    <row r="953" spans="1:25" x14ac:dyDescent="0.3">
      <c r="A953">
        <v>952</v>
      </c>
      <c r="B953" t="s">
        <v>132</v>
      </c>
      <c r="C953" t="s">
        <v>484</v>
      </c>
      <c r="D953" t="s">
        <v>89</v>
      </c>
      <c r="E953" t="s">
        <v>28</v>
      </c>
      <c r="F953">
        <v>4</v>
      </c>
      <c r="G953">
        <v>180</v>
      </c>
      <c r="H953">
        <v>720</v>
      </c>
      <c r="I953">
        <v>75</v>
      </c>
      <c r="J953">
        <v>300</v>
      </c>
      <c r="K953">
        <v>420</v>
      </c>
      <c r="L953" t="s">
        <v>86</v>
      </c>
      <c r="M953" t="s">
        <v>38</v>
      </c>
      <c r="N953" t="s">
        <v>31</v>
      </c>
      <c r="O953">
        <v>21.8</v>
      </c>
      <c r="P953">
        <v>28.79</v>
      </c>
      <c r="Q953">
        <v>16.95</v>
      </c>
      <c r="R953">
        <v>8.59</v>
      </c>
      <c r="S953">
        <v>1.41</v>
      </c>
      <c r="T953">
        <v>9.91</v>
      </c>
      <c r="U953">
        <v>4.87</v>
      </c>
      <c r="V953">
        <v>1.61</v>
      </c>
      <c r="W953">
        <v>326.07</v>
      </c>
      <c r="X953" t="s">
        <v>57</v>
      </c>
      <c r="Y953" t="s">
        <v>40</v>
      </c>
    </row>
    <row r="954" spans="1:25" x14ac:dyDescent="0.3">
      <c r="A954">
        <v>953</v>
      </c>
      <c r="B954" t="s">
        <v>351</v>
      </c>
      <c r="C954" t="s">
        <v>100</v>
      </c>
      <c r="D954" t="s">
        <v>36</v>
      </c>
      <c r="E954" t="s">
        <v>28</v>
      </c>
      <c r="F954">
        <v>2</v>
      </c>
      <c r="G954">
        <v>220</v>
      </c>
      <c r="H954">
        <v>440</v>
      </c>
      <c r="I954">
        <v>100</v>
      </c>
      <c r="J954">
        <v>200</v>
      </c>
      <c r="K954">
        <v>240</v>
      </c>
      <c r="L954" t="s">
        <v>29</v>
      </c>
      <c r="M954" t="s">
        <v>30</v>
      </c>
      <c r="N954" t="s">
        <v>90</v>
      </c>
      <c r="O954">
        <v>15.7</v>
      </c>
      <c r="P954">
        <v>22.27</v>
      </c>
      <c r="Q954">
        <v>17.440000000000001</v>
      </c>
      <c r="R954">
        <v>8.18</v>
      </c>
      <c r="S954">
        <v>0.98</v>
      </c>
      <c r="T954">
        <v>14.88</v>
      </c>
      <c r="U954">
        <v>5.09</v>
      </c>
      <c r="V954">
        <v>2.21</v>
      </c>
      <c r="W954">
        <v>153.25</v>
      </c>
      <c r="X954" t="s">
        <v>66</v>
      </c>
      <c r="Y954" t="s">
        <v>33</v>
      </c>
    </row>
    <row r="955" spans="1:25" x14ac:dyDescent="0.3">
      <c r="A955">
        <v>954</v>
      </c>
      <c r="B955" t="s">
        <v>238</v>
      </c>
      <c r="C955" t="s">
        <v>250</v>
      </c>
      <c r="D955" t="s">
        <v>36</v>
      </c>
      <c r="E955" t="s">
        <v>28</v>
      </c>
      <c r="F955">
        <v>1</v>
      </c>
      <c r="G955">
        <v>220</v>
      </c>
      <c r="H955">
        <v>220</v>
      </c>
      <c r="I955">
        <v>100</v>
      </c>
      <c r="J955">
        <v>100</v>
      </c>
      <c r="K955">
        <v>120</v>
      </c>
      <c r="L955" t="s">
        <v>37</v>
      </c>
      <c r="M955" t="s">
        <v>56</v>
      </c>
      <c r="N955" t="s">
        <v>39</v>
      </c>
      <c r="O955">
        <v>18.940000000000001</v>
      </c>
      <c r="P955">
        <v>25.73</v>
      </c>
      <c r="Q955">
        <v>10.5</v>
      </c>
      <c r="R955">
        <v>22.58</v>
      </c>
      <c r="S955">
        <v>0.48</v>
      </c>
      <c r="T955">
        <v>14.91</v>
      </c>
      <c r="U955">
        <v>3.97</v>
      </c>
      <c r="V955">
        <v>2.7</v>
      </c>
      <c r="W955">
        <v>20.190000000000001</v>
      </c>
      <c r="X955" t="s">
        <v>57</v>
      </c>
      <c r="Y955" t="s">
        <v>40</v>
      </c>
    </row>
    <row r="956" spans="1:25" x14ac:dyDescent="0.3">
      <c r="A956">
        <v>955</v>
      </c>
      <c r="B956" t="s">
        <v>34</v>
      </c>
      <c r="C956" t="s">
        <v>493</v>
      </c>
      <c r="D956" t="s">
        <v>89</v>
      </c>
      <c r="E956" t="s">
        <v>28</v>
      </c>
      <c r="F956">
        <v>3</v>
      </c>
      <c r="G956">
        <v>180</v>
      </c>
      <c r="H956">
        <v>540</v>
      </c>
      <c r="I956">
        <v>75</v>
      </c>
      <c r="J956">
        <v>225</v>
      </c>
      <c r="K956">
        <v>315</v>
      </c>
      <c r="L956" t="s">
        <v>29</v>
      </c>
      <c r="M956" t="s">
        <v>30</v>
      </c>
      <c r="N956" t="s">
        <v>51</v>
      </c>
      <c r="O956">
        <v>26.33</v>
      </c>
      <c r="P956">
        <v>55.71</v>
      </c>
      <c r="Q956">
        <v>6.42</v>
      </c>
      <c r="R956">
        <v>23.83</v>
      </c>
      <c r="S956">
        <v>3.71</v>
      </c>
      <c r="T956">
        <v>2.46</v>
      </c>
      <c r="U956">
        <v>6.89</v>
      </c>
      <c r="V956">
        <v>0.75</v>
      </c>
      <c r="W956">
        <v>188.9</v>
      </c>
      <c r="X956" t="s">
        <v>66</v>
      </c>
      <c r="Y956" t="s">
        <v>33</v>
      </c>
    </row>
    <row r="957" spans="1:25" x14ac:dyDescent="0.3">
      <c r="A957">
        <v>956</v>
      </c>
      <c r="B957" t="s">
        <v>69</v>
      </c>
      <c r="C957" t="s">
        <v>319</v>
      </c>
      <c r="D957" t="s">
        <v>54</v>
      </c>
      <c r="E957" t="s">
        <v>28</v>
      </c>
      <c r="F957">
        <v>2</v>
      </c>
      <c r="G957">
        <v>120</v>
      </c>
      <c r="H957">
        <v>240</v>
      </c>
      <c r="I957">
        <v>50</v>
      </c>
      <c r="J957">
        <v>100</v>
      </c>
      <c r="K957">
        <v>140</v>
      </c>
      <c r="L957" t="s">
        <v>29</v>
      </c>
      <c r="M957" t="s">
        <v>63</v>
      </c>
      <c r="N957" t="s">
        <v>39</v>
      </c>
      <c r="O957">
        <v>21.6</v>
      </c>
      <c r="P957">
        <v>52.14</v>
      </c>
      <c r="Q957">
        <v>15.19</v>
      </c>
      <c r="R957">
        <v>30.4</v>
      </c>
      <c r="S957">
        <v>0.05</v>
      </c>
      <c r="T957">
        <v>4.25</v>
      </c>
      <c r="U957">
        <v>4.29</v>
      </c>
      <c r="V957">
        <v>2.83</v>
      </c>
      <c r="W957">
        <v>9.25</v>
      </c>
      <c r="X957" t="s">
        <v>66</v>
      </c>
      <c r="Y957" t="s">
        <v>33</v>
      </c>
    </row>
    <row r="958" spans="1:25" x14ac:dyDescent="0.3">
      <c r="A958">
        <v>957</v>
      </c>
      <c r="B958" t="s">
        <v>200</v>
      </c>
      <c r="C958" t="s">
        <v>461</v>
      </c>
      <c r="D958" t="s">
        <v>54</v>
      </c>
      <c r="E958" t="s">
        <v>28</v>
      </c>
      <c r="F958">
        <v>1</v>
      </c>
      <c r="G958">
        <v>120</v>
      </c>
      <c r="H958">
        <v>120</v>
      </c>
      <c r="I958">
        <v>50</v>
      </c>
      <c r="J958">
        <v>50</v>
      </c>
      <c r="K958">
        <v>70</v>
      </c>
      <c r="L958" t="s">
        <v>55</v>
      </c>
      <c r="M958" t="s">
        <v>38</v>
      </c>
      <c r="N958" t="s">
        <v>51</v>
      </c>
      <c r="O958">
        <v>11.31</v>
      </c>
      <c r="P958">
        <v>46.85</v>
      </c>
      <c r="Q958">
        <v>16.34</v>
      </c>
      <c r="R958">
        <v>23.7</v>
      </c>
      <c r="S958">
        <v>4.28</v>
      </c>
      <c r="T958">
        <v>12.55</v>
      </c>
      <c r="U958">
        <v>5.64</v>
      </c>
      <c r="V958">
        <v>2.97</v>
      </c>
      <c r="W958">
        <v>-53.64</v>
      </c>
      <c r="X958" t="s">
        <v>57</v>
      </c>
      <c r="Y958" t="s">
        <v>40</v>
      </c>
    </row>
    <row r="959" spans="1:25" x14ac:dyDescent="0.3">
      <c r="A959">
        <v>958</v>
      </c>
      <c r="B959" t="s">
        <v>302</v>
      </c>
      <c r="C959" t="s">
        <v>250</v>
      </c>
      <c r="D959" t="s">
        <v>43</v>
      </c>
      <c r="E959" t="s">
        <v>43</v>
      </c>
      <c r="F959">
        <v>3</v>
      </c>
      <c r="G959">
        <v>80</v>
      </c>
      <c r="H959">
        <v>240</v>
      </c>
      <c r="I959">
        <v>30</v>
      </c>
      <c r="J959">
        <v>90</v>
      </c>
      <c r="K959">
        <v>150</v>
      </c>
      <c r="L959" t="s">
        <v>44</v>
      </c>
      <c r="M959" t="s">
        <v>45</v>
      </c>
      <c r="N959" t="s">
        <v>51</v>
      </c>
      <c r="O959">
        <v>38.380000000000003</v>
      </c>
      <c r="P959">
        <v>30.66</v>
      </c>
      <c r="Q959">
        <v>13.4</v>
      </c>
      <c r="R959">
        <v>10.27</v>
      </c>
      <c r="S959">
        <v>4.75</v>
      </c>
      <c r="T959">
        <v>10.06</v>
      </c>
      <c r="U959">
        <v>6.53</v>
      </c>
      <c r="V959">
        <v>1.78</v>
      </c>
      <c r="W959">
        <v>34.17</v>
      </c>
      <c r="X959" t="s">
        <v>32</v>
      </c>
      <c r="Y959" t="s">
        <v>33</v>
      </c>
    </row>
    <row r="960" spans="1:25" x14ac:dyDescent="0.3">
      <c r="A960">
        <v>959</v>
      </c>
      <c r="B960" t="s">
        <v>306</v>
      </c>
      <c r="C960" t="s">
        <v>341</v>
      </c>
      <c r="D960" t="s">
        <v>36</v>
      </c>
      <c r="E960" t="s">
        <v>28</v>
      </c>
      <c r="F960">
        <v>4</v>
      </c>
      <c r="G960">
        <v>220</v>
      </c>
      <c r="H960">
        <v>880</v>
      </c>
      <c r="I960">
        <v>100</v>
      </c>
      <c r="J960">
        <v>400</v>
      </c>
      <c r="K960">
        <v>480</v>
      </c>
      <c r="L960" t="s">
        <v>55</v>
      </c>
      <c r="M960" t="s">
        <v>56</v>
      </c>
      <c r="N960" t="s">
        <v>31</v>
      </c>
      <c r="O960">
        <v>21.37</v>
      </c>
      <c r="P960">
        <v>31.01</v>
      </c>
      <c r="Q960">
        <v>6.59</v>
      </c>
      <c r="R960">
        <v>10.32</v>
      </c>
      <c r="S960">
        <v>4.55</v>
      </c>
      <c r="T960">
        <v>7.23</v>
      </c>
      <c r="U960">
        <v>5.83</v>
      </c>
      <c r="V960">
        <v>1.18</v>
      </c>
      <c r="W960">
        <v>391.92</v>
      </c>
      <c r="X960" t="s">
        <v>66</v>
      </c>
      <c r="Y960" t="s">
        <v>33</v>
      </c>
    </row>
    <row r="961" spans="1:25" x14ac:dyDescent="0.3">
      <c r="A961">
        <v>960</v>
      </c>
      <c r="B961" t="s">
        <v>149</v>
      </c>
      <c r="C961" t="s">
        <v>405</v>
      </c>
      <c r="D961" t="s">
        <v>27</v>
      </c>
      <c r="E961" t="s">
        <v>28</v>
      </c>
      <c r="F961">
        <v>3</v>
      </c>
      <c r="G961">
        <v>200</v>
      </c>
      <c r="H961">
        <v>600</v>
      </c>
      <c r="I961">
        <v>90</v>
      </c>
      <c r="J961">
        <v>270</v>
      </c>
      <c r="K961">
        <v>330</v>
      </c>
      <c r="L961" t="s">
        <v>44</v>
      </c>
      <c r="M961" t="s">
        <v>38</v>
      </c>
      <c r="N961" t="s">
        <v>39</v>
      </c>
      <c r="O961">
        <v>28.57</v>
      </c>
      <c r="P961">
        <v>45.51</v>
      </c>
      <c r="Q961">
        <v>18.260000000000002</v>
      </c>
      <c r="R961">
        <v>22.59</v>
      </c>
      <c r="S961">
        <v>2.63</v>
      </c>
      <c r="T961">
        <v>12.91</v>
      </c>
      <c r="U961">
        <v>1.95</v>
      </c>
      <c r="V961">
        <v>0.12</v>
      </c>
      <c r="W961">
        <v>197.46</v>
      </c>
      <c r="X961" t="s">
        <v>57</v>
      </c>
      <c r="Y961" t="s">
        <v>33</v>
      </c>
    </row>
    <row r="962" spans="1:25" x14ac:dyDescent="0.3">
      <c r="A962">
        <v>961</v>
      </c>
      <c r="B962" t="s">
        <v>383</v>
      </c>
      <c r="C962" t="s">
        <v>94</v>
      </c>
      <c r="D962" t="s">
        <v>49</v>
      </c>
      <c r="E962" t="s">
        <v>50</v>
      </c>
      <c r="F962">
        <v>1</v>
      </c>
      <c r="G962">
        <v>180</v>
      </c>
      <c r="H962">
        <v>180</v>
      </c>
      <c r="I962">
        <v>90</v>
      </c>
      <c r="J962">
        <v>90</v>
      </c>
      <c r="K962">
        <v>90</v>
      </c>
      <c r="L962" t="s">
        <v>55</v>
      </c>
      <c r="M962" t="s">
        <v>38</v>
      </c>
      <c r="N962" t="s">
        <v>46</v>
      </c>
      <c r="O962">
        <v>33.380000000000003</v>
      </c>
      <c r="P962">
        <v>23.96</v>
      </c>
      <c r="Q962">
        <v>14.73</v>
      </c>
      <c r="R962">
        <v>6.54</v>
      </c>
      <c r="S962">
        <v>2.06</v>
      </c>
      <c r="T962">
        <v>12.89</v>
      </c>
      <c r="U962">
        <v>1.2</v>
      </c>
      <c r="V962">
        <v>1.66</v>
      </c>
      <c r="W962">
        <v>-6.42</v>
      </c>
      <c r="X962" t="s">
        <v>57</v>
      </c>
      <c r="Y962" t="s">
        <v>33</v>
      </c>
    </row>
    <row r="963" spans="1:25" x14ac:dyDescent="0.3">
      <c r="A963">
        <v>962</v>
      </c>
      <c r="B963" t="s">
        <v>466</v>
      </c>
      <c r="C963" t="s">
        <v>283</v>
      </c>
      <c r="D963" t="s">
        <v>27</v>
      </c>
      <c r="E963" t="s">
        <v>28</v>
      </c>
      <c r="F963">
        <v>1</v>
      </c>
      <c r="G963">
        <v>200</v>
      </c>
      <c r="H963">
        <v>200</v>
      </c>
      <c r="I963">
        <v>90</v>
      </c>
      <c r="J963">
        <v>90</v>
      </c>
      <c r="K963">
        <v>110</v>
      </c>
      <c r="L963" t="s">
        <v>44</v>
      </c>
      <c r="M963" t="s">
        <v>38</v>
      </c>
      <c r="N963" t="s">
        <v>46</v>
      </c>
      <c r="O963">
        <v>37.75</v>
      </c>
      <c r="P963">
        <v>21.09</v>
      </c>
      <c r="Q963">
        <v>15.03</v>
      </c>
      <c r="R963">
        <v>8.6300000000000008</v>
      </c>
      <c r="S963">
        <v>0.17</v>
      </c>
      <c r="T963">
        <v>13.28</v>
      </c>
      <c r="U963">
        <v>7.48</v>
      </c>
      <c r="V963">
        <v>2.71</v>
      </c>
      <c r="W963">
        <v>3.86</v>
      </c>
      <c r="X963" t="s">
        <v>57</v>
      </c>
      <c r="Y963" t="s">
        <v>33</v>
      </c>
    </row>
    <row r="964" spans="1:25" x14ac:dyDescent="0.3">
      <c r="A964">
        <v>963</v>
      </c>
      <c r="B964" t="s">
        <v>533</v>
      </c>
      <c r="C964" t="s">
        <v>461</v>
      </c>
      <c r="D964" t="s">
        <v>43</v>
      </c>
      <c r="E964" t="s">
        <v>43</v>
      </c>
      <c r="F964">
        <v>4</v>
      </c>
      <c r="G964">
        <v>80</v>
      </c>
      <c r="H964">
        <v>320</v>
      </c>
      <c r="I964">
        <v>30</v>
      </c>
      <c r="J964">
        <v>120</v>
      </c>
      <c r="K964">
        <v>200</v>
      </c>
      <c r="L964" t="s">
        <v>44</v>
      </c>
      <c r="M964" t="s">
        <v>56</v>
      </c>
      <c r="N964" t="s">
        <v>90</v>
      </c>
      <c r="O964">
        <v>23.74</v>
      </c>
      <c r="P964">
        <v>56.1</v>
      </c>
      <c r="Q964">
        <v>7.7</v>
      </c>
      <c r="R964">
        <v>26.61</v>
      </c>
      <c r="S964">
        <v>1.88</v>
      </c>
      <c r="T964">
        <v>5.8</v>
      </c>
      <c r="U964">
        <v>5.62</v>
      </c>
      <c r="V964">
        <v>2.77</v>
      </c>
      <c r="W964">
        <v>69.78</v>
      </c>
      <c r="X964" t="s">
        <v>57</v>
      </c>
      <c r="Y964" t="s">
        <v>33</v>
      </c>
    </row>
    <row r="965" spans="1:25" x14ac:dyDescent="0.3">
      <c r="A965">
        <v>964</v>
      </c>
      <c r="B965" t="s">
        <v>84</v>
      </c>
      <c r="C965" t="s">
        <v>464</v>
      </c>
      <c r="D965" t="s">
        <v>27</v>
      </c>
      <c r="E965" t="s">
        <v>28</v>
      </c>
      <c r="F965">
        <v>4</v>
      </c>
      <c r="G965">
        <v>200</v>
      </c>
      <c r="H965">
        <v>800</v>
      </c>
      <c r="I965">
        <v>90</v>
      </c>
      <c r="J965">
        <v>360</v>
      </c>
      <c r="K965">
        <v>440</v>
      </c>
      <c r="L965" t="s">
        <v>29</v>
      </c>
      <c r="M965" t="s">
        <v>63</v>
      </c>
      <c r="N965" t="s">
        <v>39</v>
      </c>
      <c r="O965">
        <v>28.24</v>
      </c>
      <c r="P965">
        <v>59.67</v>
      </c>
      <c r="Q965">
        <v>12.62</v>
      </c>
      <c r="R965">
        <v>30.21</v>
      </c>
      <c r="S965">
        <v>0.44</v>
      </c>
      <c r="T965">
        <v>4.4000000000000004</v>
      </c>
      <c r="U965">
        <v>4.51</v>
      </c>
      <c r="V965">
        <v>0.66</v>
      </c>
      <c r="W965">
        <v>299.25</v>
      </c>
      <c r="X965" t="s">
        <v>32</v>
      </c>
      <c r="Y965" t="s">
        <v>33</v>
      </c>
    </row>
    <row r="966" spans="1:25" x14ac:dyDescent="0.3">
      <c r="A966">
        <v>965</v>
      </c>
      <c r="B966" t="s">
        <v>539</v>
      </c>
      <c r="C966" t="s">
        <v>167</v>
      </c>
      <c r="D966" t="s">
        <v>36</v>
      </c>
      <c r="E966" t="s">
        <v>28</v>
      </c>
      <c r="F966">
        <v>4</v>
      </c>
      <c r="G966">
        <v>220</v>
      </c>
      <c r="H966">
        <v>880</v>
      </c>
      <c r="I966">
        <v>100</v>
      </c>
      <c r="J966">
        <v>400</v>
      </c>
      <c r="K966">
        <v>480</v>
      </c>
      <c r="L966" t="s">
        <v>44</v>
      </c>
      <c r="M966" t="s">
        <v>63</v>
      </c>
      <c r="N966" t="s">
        <v>39</v>
      </c>
      <c r="O966">
        <v>39.93</v>
      </c>
      <c r="P966">
        <v>28.76</v>
      </c>
      <c r="Q966">
        <v>8.1999999999999993</v>
      </c>
      <c r="R966">
        <v>19.43</v>
      </c>
      <c r="S966">
        <v>1.1200000000000001</v>
      </c>
      <c r="T966">
        <v>13.82</v>
      </c>
      <c r="U966">
        <v>7.91</v>
      </c>
      <c r="V966">
        <v>0.53</v>
      </c>
      <c r="W966">
        <v>360.3</v>
      </c>
      <c r="X966" t="s">
        <v>66</v>
      </c>
      <c r="Y966" t="s">
        <v>33</v>
      </c>
    </row>
    <row r="967" spans="1:25" x14ac:dyDescent="0.3">
      <c r="A967">
        <v>966</v>
      </c>
      <c r="B967" t="s">
        <v>518</v>
      </c>
      <c r="C967" t="s">
        <v>335</v>
      </c>
      <c r="D967" t="s">
        <v>62</v>
      </c>
      <c r="E967" t="s">
        <v>28</v>
      </c>
      <c r="F967">
        <v>4</v>
      </c>
      <c r="G967">
        <v>250</v>
      </c>
      <c r="H967">
        <v>1000</v>
      </c>
      <c r="I967">
        <v>110</v>
      </c>
      <c r="J967">
        <v>440</v>
      </c>
      <c r="K967">
        <v>560</v>
      </c>
      <c r="L967" t="s">
        <v>29</v>
      </c>
      <c r="M967" t="s">
        <v>38</v>
      </c>
      <c r="N967" t="s">
        <v>46</v>
      </c>
      <c r="O967">
        <v>36.93</v>
      </c>
      <c r="P967">
        <v>21.81</v>
      </c>
      <c r="Q967">
        <v>12.68</v>
      </c>
      <c r="R967">
        <v>31.13</v>
      </c>
      <c r="S967">
        <v>1.18</v>
      </c>
      <c r="T967">
        <v>9.3699999999999992</v>
      </c>
      <c r="U967">
        <v>4.41</v>
      </c>
      <c r="V967">
        <v>0.53</v>
      </c>
      <c r="W967">
        <v>441.96</v>
      </c>
      <c r="X967" t="s">
        <v>66</v>
      </c>
      <c r="Y967" t="s">
        <v>40</v>
      </c>
    </row>
    <row r="968" spans="1:25" x14ac:dyDescent="0.3">
      <c r="A968">
        <v>967</v>
      </c>
      <c r="B968" t="s">
        <v>243</v>
      </c>
      <c r="C968" t="s">
        <v>358</v>
      </c>
      <c r="D968" t="s">
        <v>109</v>
      </c>
      <c r="E968" t="s">
        <v>50</v>
      </c>
      <c r="F968">
        <v>3</v>
      </c>
      <c r="G968">
        <v>150</v>
      </c>
      <c r="H968">
        <v>450</v>
      </c>
      <c r="I968">
        <v>70</v>
      </c>
      <c r="J968">
        <v>210</v>
      </c>
      <c r="K968">
        <v>240</v>
      </c>
      <c r="L968" t="s">
        <v>44</v>
      </c>
      <c r="M968" t="s">
        <v>63</v>
      </c>
      <c r="N968" t="s">
        <v>90</v>
      </c>
      <c r="O968">
        <v>11.42</v>
      </c>
      <c r="P968">
        <v>51.86</v>
      </c>
      <c r="Q968">
        <v>17.010000000000002</v>
      </c>
      <c r="R968">
        <v>8.23</v>
      </c>
      <c r="S968">
        <v>1.64</v>
      </c>
      <c r="T968">
        <v>4.84</v>
      </c>
      <c r="U968">
        <v>6.11</v>
      </c>
      <c r="V968">
        <v>1.74</v>
      </c>
      <c r="W968">
        <v>137.15</v>
      </c>
      <c r="X968" t="s">
        <v>66</v>
      </c>
      <c r="Y968" t="s">
        <v>40</v>
      </c>
    </row>
    <row r="969" spans="1:25" x14ac:dyDescent="0.3">
      <c r="A969">
        <v>968</v>
      </c>
      <c r="B969" t="s">
        <v>444</v>
      </c>
      <c r="C969" t="s">
        <v>348</v>
      </c>
      <c r="D969" t="s">
        <v>49</v>
      </c>
      <c r="E969" t="s">
        <v>50</v>
      </c>
      <c r="F969">
        <v>1</v>
      </c>
      <c r="G969">
        <v>180</v>
      </c>
      <c r="H969">
        <v>180</v>
      </c>
      <c r="I969">
        <v>90</v>
      </c>
      <c r="J969">
        <v>90</v>
      </c>
      <c r="K969">
        <v>90</v>
      </c>
      <c r="L969" t="s">
        <v>44</v>
      </c>
      <c r="M969" t="s">
        <v>30</v>
      </c>
      <c r="N969" t="s">
        <v>46</v>
      </c>
      <c r="O969">
        <v>35.229999999999997</v>
      </c>
      <c r="P969">
        <v>18.920000000000002</v>
      </c>
      <c r="Q969">
        <v>5.21</v>
      </c>
      <c r="R969">
        <v>6.52</v>
      </c>
      <c r="S969">
        <v>4.1900000000000004</v>
      </c>
      <c r="T969">
        <v>13.95</v>
      </c>
      <c r="U969">
        <v>6.02</v>
      </c>
      <c r="V969">
        <v>2.5299999999999998</v>
      </c>
      <c r="W969">
        <v>-2.57</v>
      </c>
      <c r="X969" t="s">
        <v>66</v>
      </c>
      <c r="Y969" t="s">
        <v>33</v>
      </c>
    </row>
    <row r="970" spans="1:25" x14ac:dyDescent="0.3">
      <c r="A970">
        <v>969</v>
      </c>
      <c r="B970" t="s">
        <v>285</v>
      </c>
      <c r="C970" t="s">
        <v>399</v>
      </c>
      <c r="D970" t="s">
        <v>109</v>
      </c>
      <c r="E970" t="s">
        <v>50</v>
      </c>
      <c r="F970">
        <v>2</v>
      </c>
      <c r="G970">
        <v>150</v>
      </c>
      <c r="H970">
        <v>300</v>
      </c>
      <c r="I970">
        <v>70</v>
      </c>
      <c r="J970">
        <v>140</v>
      </c>
      <c r="K970">
        <v>160</v>
      </c>
      <c r="L970" t="s">
        <v>44</v>
      </c>
      <c r="M970" t="s">
        <v>38</v>
      </c>
      <c r="N970" t="s">
        <v>46</v>
      </c>
      <c r="O970">
        <v>24.15</v>
      </c>
      <c r="P970">
        <v>54.78</v>
      </c>
      <c r="Q970">
        <v>6.66</v>
      </c>
      <c r="R970">
        <v>26.38</v>
      </c>
      <c r="S970">
        <v>0.84</v>
      </c>
      <c r="T970">
        <v>4.04</v>
      </c>
      <c r="U970">
        <v>7.86</v>
      </c>
      <c r="V970">
        <v>0.73</v>
      </c>
      <c r="W970">
        <v>34.56</v>
      </c>
      <c r="X970" t="s">
        <v>57</v>
      </c>
      <c r="Y970" t="s">
        <v>40</v>
      </c>
    </row>
    <row r="971" spans="1:25" x14ac:dyDescent="0.3">
      <c r="A971">
        <v>970</v>
      </c>
      <c r="B971" t="s">
        <v>309</v>
      </c>
      <c r="C971" t="s">
        <v>558</v>
      </c>
      <c r="D971" t="s">
        <v>43</v>
      </c>
      <c r="E971" t="s">
        <v>43</v>
      </c>
      <c r="F971">
        <v>2</v>
      </c>
      <c r="G971">
        <v>80</v>
      </c>
      <c r="H971">
        <v>160</v>
      </c>
      <c r="I971">
        <v>30</v>
      </c>
      <c r="J971">
        <v>60</v>
      </c>
      <c r="K971">
        <v>100</v>
      </c>
      <c r="L971" t="s">
        <v>86</v>
      </c>
      <c r="M971" t="s">
        <v>63</v>
      </c>
      <c r="N971" t="s">
        <v>46</v>
      </c>
      <c r="O971">
        <v>36.409999999999997</v>
      </c>
      <c r="P971">
        <v>16.73</v>
      </c>
      <c r="Q971">
        <v>19.87</v>
      </c>
      <c r="R971">
        <v>15.68</v>
      </c>
      <c r="S971">
        <v>2.16</v>
      </c>
      <c r="T971">
        <v>6.24</v>
      </c>
      <c r="U971">
        <v>5.54</v>
      </c>
      <c r="V971">
        <v>2.82</v>
      </c>
      <c r="W971">
        <v>-5.45</v>
      </c>
      <c r="X971" t="s">
        <v>57</v>
      </c>
      <c r="Y971" t="s">
        <v>33</v>
      </c>
    </row>
    <row r="972" spans="1:25" x14ac:dyDescent="0.3">
      <c r="A972">
        <v>971</v>
      </c>
      <c r="B972" t="s">
        <v>87</v>
      </c>
      <c r="C972" t="s">
        <v>361</v>
      </c>
      <c r="D972" t="s">
        <v>54</v>
      </c>
      <c r="E972" t="s">
        <v>28</v>
      </c>
      <c r="F972">
        <v>1</v>
      </c>
      <c r="G972">
        <v>120</v>
      </c>
      <c r="H972">
        <v>120</v>
      </c>
      <c r="I972">
        <v>50</v>
      </c>
      <c r="J972">
        <v>50</v>
      </c>
      <c r="K972">
        <v>70</v>
      </c>
      <c r="L972" t="s">
        <v>55</v>
      </c>
      <c r="M972" t="s">
        <v>56</v>
      </c>
      <c r="N972" t="s">
        <v>81</v>
      </c>
      <c r="O972">
        <v>11.56</v>
      </c>
      <c r="P972">
        <v>18.12</v>
      </c>
      <c r="Q972">
        <v>15.59</v>
      </c>
      <c r="R972">
        <v>11.48</v>
      </c>
      <c r="S972">
        <v>3.01</v>
      </c>
      <c r="T972">
        <v>3.03</v>
      </c>
      <c r="U972">
        <v>6.43</v>
      </c>
      <c r="V972">
        <v>2.2200000000000002</v>
      </c>
      <c r="W972">
        <v>-1.44</v>
      </c>
      <c r="X972" t="s">
        <v>32</v>
      </c>
      <c r="Y972" t="s">
        <v>33</v>
      </c>
    </row>
    <row r="973" spans="1:25" x14ac:dyDescent="0.3">
      <c r="A973">
        <v>972</v>
      </c>
      <c r="B973" t="s">
        <v>421</v>
      </c>
      <c r="C973" t="s">
        <v>450</v>
      </c>
      <c r="D973" t="s">
        <v>36</v>
      </c>
      <c r="E973" t="s">
        <v>28</v>
      </c>
      <c r="F973">
        <v>2</v>
      </c>
      <c r="G973">
        <v>220</v>
      </c>
      <c r="H973">
        <v>440</v>
      </c>
      <c r="I973">
        <v>100</v>
      </c>
      <c r="J973">
        <v>200</v>
      </c>
      <c r="K973">
        <v>240</v>
      </c>
      <c r="L973" t="s">
        <v>37</v>
      </c>
      <c r="M973" t="s">
        <v>45</v>
      </c>
      <c r="N973" t="s">
        <v>39</v>
      </c>
      <c r="O973">
        <v>27.25</v>
      </c>
      <c r="P973">
        <v>39.6</v>
      </c>
      <c r="Q973">
        <v>14.97</v>
      </c>
      <c r="R973">
        <v>8.25</v>
      </c>
      <c r="S973">
        <v>2.76</v>
      </c>
      <c r="T973">
        <v>3.09</v>
      </c>
      <c r="U973">
        <v>1.71</v>
      </c>
      <c r="V973">
        <v>2.91</v>
      </c>
      <c r="W973">
        <v>139.46</v>
      </c>
      <c r="X973" t="s">
        <v>57</v>
      </c>
      <c r="Y973" t="s">
        <v>33</v>
      </c>
    </row>
    <row r="974" spans="1:25" x14ac:dyDescent="0.3">
      <c r="A974">
        <v>973</v>
      </c>
      <c r="B974" t="s">
        <v>225</v>
      </c>
      <c r="C974" t="s">
        <v>373</v>
      </c>
      <c r="D974" t="s">
        <v>27</v>
      </c>
      <c r="E974" t="s">
        <v>28</v>
      </c>
      <c r="F974">
        <v>2</v>
      </c>
      <c r="G974">
        <v>200</v>
      </c>
      <c r="H974">
        <v>400</v>
      </c>
      <c r="I974">
        <v>90</v>
      </c>
      <c r="J974">
        <v>180</v>
      </c>
      <c r="K974">
        <v>220</v>
      </c>
      <c r="L974" t="s">
        <v>86</v>
      </c>
      <c r="M974" t="s">
        <v>30</v>
      </c>
      <c r="N974" t="s">
        <v>81</v>
      </c>
      <c r="O974">
        <v>20.21</v>
      </c>
      <c r="P974">
        <v>25.24</v>
      </c>
      <c r="Q974">
        <v>14.92</v>
      </c>
      <c r="R974">
        <v>23.01</v>
      </c>
      <c r="S974">
        <v>4.6500000000000004</v>
      </c>
      <c r="T974">
        <v>8</v>
      </c>
      <c r="U974">
        <v>4.2</v>
      </c>
      <c r="V974">
        <v>1.25</v>
      </c>
      <c r="W974">
        <v>118.52</v>
      </c>
      <c r="X974" t="s">
        <v>66</v>
      </c>
      <c r="Y974" t="s">
        <v>40</v>
      </c>
    </row>
    <row r="975" spans="1:25" x14ac:dyDescent="0.3">
      <c r="A975">
        <v>974</v>
      </c>
      <c r="B975" t="s">
        <v>93</v>
      </c>
      <c r="C975" t="s">
        <v>441</v>
      </c>
      <c r="D975" t="s">
        <v>36</v>
      </c>
      <c r="E975" t="s">
        <v>28</v>
      </c>
      <c r="F975">
        <v>1</v>
      </c>
      <c r="G975">
        <v>220</v>
      </c>
      <c r="H975">
        <v>220</v>
      </c>
      <c r="I975">
        <v>100</v>
      </c>
      <c r="J975">
        <v>100</v>
      </c>
      <c r="K975">
        <v>120</v>
      </c>
      <c r="L975" t="s">
        <v>55</v>
      </c>
      <c r="M975" t="s">
        <v>30</v>
      </c>
      <c r="N975" t="s">
        <v>46</v>
      </c>
      <c r="O975">
        <v>35.08</v>
      </c>
      <c r="P975">
        <v>27.52</v>
      </c>
      <c r="Q975">
        <v>17.53</v>
      </c>
      <c r="R975">
        <v>19.05</v>
      </c>
      <c r="S975">
        <v>3.97</v>
      </c>
      <c r="T975">
        <v>7.04</v>
      </c>
      <c r="U975">
        <v>1.23</v>
      </c>
      <c r="V975">
        <v>1.1399999999999999</v>
      </c>
      <c r="W975">
        <v>7.44</v>
      </c>
      <c r="X975" t="s">
        <v>57</v>
      </c>
      <c r="Y975" t="s">
        <v>40</v>
      </c>
    </row>
    <row r="976" spans="1:25" x14ac:dyDescent="0.3">
      <c r="A976">
        <v>975</v>
      </c>
      <c r="B976" t="s">
        <v>539</v>
      </c>
      <c r="C976" t="s">
        <v>535</v>
      </c>
      <c r="D976" t="s">
        <v>62</v>
      </c>
      <c r="E976" t="s">
        <v>28</v>
      </c>
      <c r="F976">
        <v>3</v>
      </c>
      <c r="G976">
        <v>250</v>
      </c>
      <c r="H976">
        <v>750</v>
      </c>
      <c r="I976">
        <v>110</v>
      </c>
      <c r="J976">
        <v>330</v>
      </c>
      <c r="K976">
        <v>420</v>
      </c>
      <c r="L976" t="s">
        <v>44</v>
      </c>
      <c r="M976" t="s">
        <v>56</v>
      </c>
      <c r="N976" t="s">
        <v>31</v>
      </c>
      <c r="O976">
        <v>38.47</v>
      </c>
      <c r="P976">
        <v>33.85</v>
      </c>
      <c r="Q976">
        <v>16.170000000000002</v>
      </c>
      <c r="R976">
        <v>10.34</v>
      </c>
      <c r="S976">
        <v>2.71</v>
      </c>
      <c r="T976">
        <v>14.79</v>
      </c>
      <c r="U976">
        <v>7.85</v>
      </c>
      <c r="V976">
        <v>0.5</v>
      </c>
      <c r="W976">
        <v>295.32</v>
      </c>
      <c r="X976" t="s">
        <v>32</v>
      </c>
      <c r="Y976" t="s">
        <v>40</v>
      </c>
    </row>
    <row r="977" spans="1:25" x14ac:dyDescent="0.3">
      <c r="A977">
        <v>976</v>
      </c>
      <c r="B977" t="s">
        <v>421</v>
      </c>
      <c r="C977" t="s">
        <v>546</v>
      </c>
      <c r="D977" t="s">
        <v>27</v>
      </c>
      <c r="E977" t="s">
        <v>28</v>
      </c>
      <c r="F977">
        <v>3</v>
      </c>
      <c r="G977">
        <v>200</v>
      </c>
      <c r="H977">
        <v>600</v>
      </c>
      <c r="I977">
        <v>90</v>
      </c>
      <c r="J977">
        <v>270</v>
      </c>
      <c r="K977">
        <v>330</v>
      </c>
      <c r="L977" t="s">
        <v>29</v>
      </c>
      <c r="M977" t="s">
        <v>38</v>
      </c>
      <c r="N977" t="s">
        <v>46</v>
      </c>
      <c r="O977">
        <v>21.82</v>
      </c>
      <c r="P977">
        <v>45.85</v>
      </c>
      <c r="Q977">
        <v>7.27</v>
      </c>
      <c r="R977">
        <v>16.309999999999999</v>
      </c>
      <c r="S977">
        <v>3.2</v>
      </c>
      <c r="T977">
        <v>14.85</v>
      </c>
      <c r="U977">
        <v>2.65</v>
      </c>
      <c r="V977">
        <v>0.5</v>
      </c>
      <c r="W977">
        <v>217.55</v>
      </c>
      <c r="X977" t="s">
        <v>66</v>
      </c>
      <c r="Y977" t="s">
        <v>33</v>
      </c>
    </row>
    <row r="978" spans="1:25" x14ac:dyDescent="0.3">
      <c r="A978">
        <v>977</v>
      </c>
      <c r="B978" t="s">
        <v>25</v>
      </c>
      <c r="C978" t="s">
        <v>292</v>
      </c>
      <c r="D978" t="s">
        <v>89</v>
      </c>
      <c r="E978" t="s">
        <v>28</v>
      </c>
      <c r="F978">
        <v>2</v>
      </c>
      <c r="G978">
        <v>180</v>
      </c>
      <c r="H978">
        <v>360</v>
      </c>
      <c r="I978">
        <v>75</v>
      </c>
      <c r="J978">
        <v>150</v>
      </c>
      <c r="K978">
        <v>210</v>
      </c>
      <c r="L978" t="s">
        <v>29</v>
      </c>
      <c r="M978" t="s">
        <v>45</v>
      </c>
      <c r="N978" t="s">
        <v>39</v>
      </c>
      <c r="O978">
        <v>38.39</v>
      </c>
      <c r="P978">
        <v>57.2</v>
      </c>
      <c r="Q978">
        <v>11.54</v>
      </c>
      <c r="R978">
        <v>18.010000000000002</v>
      </c>
      <c r="S978">
        <v>3.37</v>
      </c>
      <c r="T978">
        <v>14.78</v>
      </c>
      <c r="U978">
        <v>7.26</v>
      </c>
      <c r="V978">
        <v>2.23</v>
      </c>
      <c r="W978">
        <v>57.22</v>
      </c>
      <c r="X978" t="s">
        <v>32</v>
      </c>
      <c r="Y978" t="s">
        <v>40</v>
      </c>
    </row>
    <row r="979" spans="1:25" x14ac:dyDescent="0.3">
      <c r="A979">
        <v>978</v>
      </c>
      <c r="B979" t="s">
        <v>262</v>
      </c>
      <c r="C979" t="s">
        <v>94</v>
      </c>
      <c r="D979" t="s">
        <v>27</v>
      </c>
      <c r="E979" t="s">
        <v>28</v>
      </c>
      <c r="F979">
        <v>1</v>
      </c>
      <c r="G979">
        <v>200</v>
      </c>
      <c r="H979">
        <v>200</v>
      </c>
      <c r="I979">
        <v>90</v>
      </c>
      <c r="J979">
        <v>90</v>
      </c>
      <c r="K979">
        <v>110</v>
      </c>
      <c r="L979" t="s">
        <v>55</v>
      </c>
      <c r="M979" t="s">
        <v>45</v>
      </c>
      <c r="N979" t="s">
        <v>46</v>
      </c>
      <c r="O979">
        <v>25.32</v>
      </c>
      <c r="P979">
        <v>15.41</v>
      </c>
      <c r="Q979">
        <v>6.88</v>
      </c>
      <c r="R979">
        <v>26.79</v>
      </c>
      <c r="S979">
        <v>3.55</v>
      </c>
      <c r="T979">
        <v>7.62</v>
      </c>
      <c r="U979">
        <v>4.3</v>
      </c>
      <c r="V979">
        <v>0.54</v>
      </c>
      <c r="W979">
        <v>19.59</v>
      </c>
      <c r="X979" t="s">
        <v>57</v>
      </c>
      <c r="Y979" t="s">
        <v>33</v>
      </c>
    </row>
    <row r="980" spans="1:25" x14ac:dyDescent="0.3">
      <c r="A980">
        <v>979</v>
      </c>
      <c r="B980" t="s">
        <v>161</v>
      </c>
      <c r="C980" t="s">
        <v>485</v>
      </c>
      <c r="D980" t="s">
        <v>27</v>
      </c>
      <c r="E980" t="s">
        <v>28</v>
      </c>
      <c r="F980">
        <v>3</v>
      </c>
      <c r="G980">
        <v>200</v>
      </c>
      <c r="H980">
        <v>600</v>
      </c>
      <c r="I980">
        <v>90</v>
      </c>
      <c r="J980">
        <v>270</v>
      </c>
      <c r="K980">
        <v>330</v>
      </c>
      <c r="L980" t="s">
        <v>44</v>
      </c>
      <c r="M980" t="s">
        <v>30</v>
      </c>
      <c r="N980" t="s">
        <v>81</v>
      </c>
      <c r="O980">
        <v>38.299999999999997</v>
      </c>
      <c r="P980">
        <v>46.19</v>
      </c>
      <c r="Q980">
        <v>11.26</v>
      </c>
      <c r="R980">
        <v>9.2899999999999991</v>
      </c>
      <c r="S980">
        <v>3.69</v>
      </c>
      <c r="T980">
        <v>9.1300000000000008</v>
      </c>
      <c r="U980">
        <v>6.31</v>
      </c>
      <c r="V980">
        <v>2.33</v>
      </c>
      <c r="W980">
        <v>203.5</v>
      </c>
      <c r="X980" t="s">
        <v>32</v>
      </c>
      <c r="Y980" t="s">
        <v>40</v>
      </c>
    </row>
    <row r="981" spans="1:25" x14ac:dyDescent="0.3">
      <c r="A981">
        <v>980</v>
      </c>
      <c r="B981" t="s">
        <v>466</v>
      </c>
      <c r="C981" t="s">
        <v>85</v>
      </c>
      <c r="D981" t="s">
        <v>36</v>
      </c>
      <c r="E981" t="s">
        <v>28</v>
      </c>
      <c r="F981">
        <v>4</v>
      </c>
      <c r="G981">
        <v>220</v>
      </c>
      <c r="H981">
        <v>880</v>
      </c>
      <c r="I981">
        <v>100</v>
      </c>
      <c r="J981">
        <v>400</v>
      </c>
      <c r="K981">
        <v>480</v>
      </c>
      <c r="L981" t="s">
        <v>55</v>
      </c>
      <c r="M981" t="s">
        <v>63</v>
      </c>
      <c r="N981" t="s">
        <v>51</v>
      </c>
      <c r="O981">
        <v>27.73</v>
      </c>
      <c r="P981">
        <v>26.13</v>
      </c>
      <c r="Q981">
        <v>9.6</v>
      </c>
      <c r="R981">
        <v>11.55</v>
      </c>
      <c r="S981">
        <v>1.51</v>
      </c>
      <c r="T981">
        <v>7.88</v>
      </c>
      <c r="U981">
        <v>3.73</v>
      </c>
      <c r="V981">
        <v>0.53</v>
      </c>
      <c r="W981">
        <v>391.34</v>
      </c>
      <c r="X981" t="s">
        <v>32</v>
      </c>
      <c r="Y981" t="s">
        <v>33</v>
      </c>
    </row>
    <row r="982" spans="1:25" x14ac:dyDescent="0.3">
      <c r="A982">
        <v>981</v>
      </c>
      <c r="B982" t="s">
        <v>211</v>
      </c>
      <c r="C982" t="s">
        <v>136</v>
      </c>
      <c r="D982" t="s">
        <v>89</v>
      </c>
      <c r="E982" t="s">
        <v>28</v>
      </c>
      <c r="F982">
        <v>3</v>
      </c>
      <c r="G982">
        <v>180</v>
      </c>
      <c r="H982">
        <v>540</v>
      </c>
      <c r="I982">
        <v>75</v>
      </c>
      <c r="J982">
        <v>225</v>
      </c>
      <c r="K982">
        <v>315</v>
      </c>
      <c r="L982" t="s">
        <v>55</v>
      </c>
      <c r="M982" t="s">
        <v>56</v>
      </c>
      <c r="N982" t="s">
        <v>46</v>
      </c>
      <c r="O982">
        <v>36.200000000000003</v>
      </c>
      <c r="P982">
        <v>57.32</v>
      </c>
      <c r="Q982">
        <v>19.18</v>
      </c>
      <c r="R982">
        <v>5.26</v>
      </c>
      <c r="S982">
        <v>0.24</v>
      </c>
      <c r="T982">
        <v>13.14</v>
      </c>
      <c r="U982">
        <v>4.71</v>
      </c>
      <c r="V982">
        <v>0.5</v>
      </c>
      <c r="W982">
        <v>178.45</v>
      </c>
      <c r="X982" t="s">
        <v>32</v>
      </c>
      <c r="Y982" t="s">
        <v>33</v>
      </c>
    </row>
    <row r="983" spans="1:25" x14ac:dyDescent="0.3">
      <c r="A983">
        <v>982</v>
      </c>
      <c r="B983" t="s">
        <v>425</v>
      </c>
      <c r="C983" t="s">
        <v>411</v>
      </c>
      <c r="D983" t="s">
        <v>62</v>
      </c>
      <c r="E983" t="s">
        <v>28</v>
      </c>
      <c r="F983">
        <v>2</v>
      </c>
      <c r="G983">
        <v>250</v>
      </c>
      <c r="H983">
        <v>500</v>
      </c>
      <c r="I983">
        <v>110</v>
      </c>
      <c r="J983">
        <v>220</v>
      </c>
      <c r="K983">
        <v>280</v>
      </c>
      <c r="L983" t="s">
        <v>86</v>
      </c>
      <c r="M983" t="s">
        <v>38</v>
      </c>
      <c r="N983" t="s">
        <v>51</v>
      </c>
      <c r="O983">
        <v>27.32</v>
      </c>
      <c r="P983">
        <v>22.14</v>
      </c>
      <c r="Q983">
        <v>14.97</v>
      </c>
      <c r="R983">
        <v>2.2000000000000002</v>
      </c>
      <c r="S983">
        <v>3.72</v>
      </c>
      <c r="T983">
        <v>12.87</v>
      </c>
      <c r="U983">
        <v>3.63</v>
      </c>
      <c r="V983">
        <v>0.18</v>
      </c>
      <c r="W983">
        <v>192.97</v>
      </c>
      <c r="X983" t="s">
        <v>57</v>
      </c>
      <c r="Y983" t="s">
        <v>33</v>
      </c>
    </row>
    <row r="984" spans="1:25" x14ac:dyDescent="0.3">
      <c r="A984">
        <v>983</v>
      </c>
      <c r="B984" t="s">
        <v>334</v>
      </c>
      <c r="C984" t="s">
        <v>377</v>
      </c>
      <c r="D984" t="s">
        <v>54</v>
      </c>
      <c r="E984" t="s">
        <v>28</v>
      </c>
      <c r="F984">
        <v>3</v>
      </c>
      <c r="G984">
        <v>120</v>
      </c>
      <c r="H984">
        <v>360</v>
      </c>
      <c r="I984">
        <v>50</v>
      </c>
      <c r="J984">
        <v>150</v>
      </c>
      <c r="K984">
        <v>210</v>
      </c>
      <c r="L984" t="s">
        <v>37</v>
      </c>
      <c r="M984" t="s">
        <v>45</v>
      </c>
      <c r="N984" t="s">
        <v>90</v>
      </c>
      <c r="O984">
        <v>17.34</v>
      </c>
      <c r="P984">
        <v>42.47</v>
      </c>
      <c r="Q984">
        <v>14.85</v>
      </c>
      <c r="R984">
        <v>0.99</v>
      </c>
      <c r="S984">
        <v>4.17</v>
      </c>
      <c r="T984">
        <v>5.65</v>
      </c>
      <c r="U984">
        <v>7.39</v>
      </c>
      <c r="V984">
        <v>2.48</v>
      </c>
      <c r="W984">
        <v>114.66</v>
      </c>
      <c r="X984" t="s">
        <v>66</v>
      </c>
      <c r="Y984" t="s">
        <v>40</v>
      </c>
    </row>
    <row r="985" spans="1:25" x14ac:dyDescent="0.3">
      <c r="A985">
        <v>984</v>
      </c>
      <c r="B985" t="s">
        <v>155</v>
      </c>
      <c r="C985" t="s">
        <v>204</v>
      </c>
      <c r="D985" t="s">
        <v>27</v>
      </c>
      <c r="E985" t="s">
        <v>28</v>
      </c>
      <c r="F985">
        <v>3</v>
      </c>
      <c r="G985">
        <v>200</v>
      </c>
      <c r="H985">
        <v>600</v>
      </c>
      <c r="I985">
        <v>90</v>
      </c>
      <c r="J985">
        <v>270</v>
      </c>
      <c r="K985">
        <v>330</v>
      </c>
      <c r="L985" t="s">
        <v>37</v>
      </c>
      <c r="M985" t="s">
        <v>63</v>
      </c>
      <c r="N985" t="s">
        <v>31</v>
      </c>
      <c r="O985">
        <v>39.799999999999997</v>
      </c>
      <c r="P985">
        <v>33.03</v>
      </c>
      <c r="Q985">
        <v>10.67</v>
      </c>
      <c r="R985">
        <v>9.6</v>
      </c>
      <c r="S985">
        <v>4.07</v>
      </c>
      <c r="T985">
        <v>6.17</v>
      </c>
      <c r="U985">
        <v>1.5</v>
      </c>
      <c r="V985">
        <v>1.45</v>
      </c>
      <c r="W985">
        <v>223.71</v>
      </c>
      <c r="X985" t="s">
        <v>66</v>
      </c>
      <c r="Y985" t="s">
        <v>33</v>
      </c>
    </row>
    <row r="986" spans="1:25" x14ac:dyDescent="0.3">
      <c r="A986">
        <v>985</v>
      </c>
      <c r="B986" t="s">
        <v>137</v>
      </c>
      <c r="C986" t="s">
        <v>473</v>
      </c>
      <c r="D986" t="s">
        <v>54</v>
      </c>
      <c r="E986" t="s">
        <v>28</v>
      </c>
      <c r="F986">
        <v>3</v>
      </c>
      <c r="G986">
        <v>120</v>
      </c>
      <c r="H986">
        <v>360</v>
      </c>
      <c r="I986">
        <v>50</v>
      </c>
      <c r="J986">
        <v>150</v>
      </c>
      <c r="K986">
        <v>210</v>
      </c>
      <c r="L986" t="s">
        <v>29</v>
      </c>
      <c r="M986" t="s">
        <v>38</v>
      </c>
      <c r="N986" t="s">
        <v>90</v>
      </c>
      <c r="O986">
        <v>13.14</v>
      </c>
      <c r="P986">
        <v>36</v>
      </c>
      <c r="Q986">
        <v>12.04</v>
      </c>
      <c r="R986">
        <v>30.71</v>
      </c>
      <c r="S986">
        <v>0.81</v>
      </c>
      <c r="T986">
        <v>4.9800000000000004</v>
      </c>
      <c r="U986">
        <v>3.66</v>
      </c>
      <c r="V986">
        <v>0.42</v>
      </c>
      <c r="W986">
        <v>108.24</v>
      </c>
      <c r="X986" t="s">
        <v>66</v>
      </c>
      <c r="Y986" t="s">
        <v>33</v>
      </c>
    </row>
    <row r="987" spans="1:25" x14ac:dyDescent="0.3">
      <c r="A987">
        <v>986</v>
      </c>
      <c r="B987" t="s">
        <v>309</v>
      </c>
      <c r="C987" t="s">
        <v>528</v>
      </c>
      <c r="D987" t="s">
        <v>36</v>
      </c>
      <c r="E987" t="s">
        <v>28</v>
      </c>
      <c r="F987">
        <v>1</v>
      </c>
      <c r="G987">
        <v>220</v>
      </c>
      <c r="H987">
        <v>220</v>
      </c>
      <c r="I987">
        <v>100</v>
      </c>
      <c r="J987">
        <v>100</v>
      </c>
      <c r="K987">
        <v>120</v>
      </c>
      <c r="L987" t="s">
        <v>86</v>
      </c>
      <c r="M987" t="s">
        <v>45</v>
      </c>
      <c r="N987" t="s">
        <v>81</v>
      </c>
      <c r="O987">
        <v>17.54</v>
      </c>
      <c r="P987">
        <v>15.93</v>
      </c>
      <c r="Q987">
        <v>13.34</v>
      </c>
      <c r="R987">
        <v>2.99</v>
      </c>
      <c r="S987">
        <v>2.98</v>
      </c>
      <c r="T987">
        <v>14.76</v>
      </c>
      <c r="U987">
        <v>4.9000000000000004</v>
      </c>
      <c r="V987">
        <v>1.57</v>
      </c>
      <c r="W987">
        <v>45.99</v>
      </c>
      <c r="X987" t="s">
        <v>32</v>
      </c>
      <c r="Y987" t="s">
        <v>40</v>
      </c>
    </row>
    <row r="988" spans="1:25" x14ac:dyDescent="0.3">
      <c r="A988">
        <v>987</v>
      </c>
      <c r="B988" t="s">
        <v>25</v>
      </c>
      <c r="C988" t="s">
        <v>422</v>
      </c>
      <c r="D988" t="s">
        <v>62</v>
      </c>
      <c r="E988" t="s">
        <v>28</v>
      </c>
      <c r="F988">
        <v>1</v>
      </c>
      <c r="G988">
        <v>250</v>
      </c>
      <c r="H988">
        <v>250</v>
      </c>
      <c r="I988">
        <v>110</v>
      </c>
      <c r="J988">
        <v>110</v>
      </c>
      <c r="K988">
        <v>140</v>
      </c>
      <c r="L988" t="s">
        <v>37</v>
      </c>
      <c r="M988" t="s">
        <v>38</v>
      </c>
      <c r="N988" t="s">
        <v>90</v>
      </c>
      <c r="O988">
        <v>17.440000000000001</v>
      </c>
      <c r="P988">
        <v>26.25</v>
      </c>
      <c r="Q988">
        <v>18.96</v>
      </c>
      <c r="R988">
        <v>20.170000000000002</v>
      </c>
      <c r="S988">
        <v>3.1</v>
      </c>
      <c r="T988">
        <v>5.76</v>
      </c>
      <c r="U988">
        <v>6.5</v>
      </c>
      <c r="V988">
        <v>2.72</v>
      </c>
      <c r="W988">
        <v>39.1</v>
      </c>
      <c r="X988" t="s">
        <v>66</v>
      </c>
      <c r="Y988" t="s">
        <v>33</v>
      </c>
    </row>
    <row r="989" spans="1:25" x14ac:dyDescent="0.3">
      <c r="A989">
        <v>988</v>
      </c>
      <c r="B989" t="s">
        <v>314</v>
      </c>
      <c r="C989" t="s">
        <v>370</v>
      </c>
      <c r="D989" t="s">
        <v>43</v>
      </c>
      <c r="E989" t="s">
        <v>43</v>
      </c>
      <c r="F989">
        <v>2</v>
      </c>
      <c r="G989">
        <v>80</v>
      </c>
      <c r="H989">
        <v>160</v>
      </c>
      <c r="I989">
        <v>30</v>
      </c>
      <c r="J989">
        <v>60</v>
      </c>
      <c r="K989">
        <v>100</v>
      </c>
      <c r="L989" t="s">
        <v>29</v>
      </c>
      <c r="M989" t="s">
        <v>45</v>
      </c>
      <c r="N989" t="s">
        <v>51</v>
      </c>
      <c r="O989">
        <v>25.82</v>
      </c>
      <c r="P989">
        <v>48.13</v>
      </c>
      <c r="Q989">
        <v>16.52</v>
      </c>
      <c r="R989">
        <v>15.44</v>
      </c>
      <c r="S989">
        <v>0</v>
      </c>
      <c r="T989">
        <v>6.85</v>
      </c>
      <c r="U989">
        <v>7.84</v>
      </c>
      <c r="V989">
        <v>0.88</v>
      </c>
      <c r="W989">
        <v>-21.48</v>
      </c>
      <c r="X989" t="s">
        <v>57</v>
      </c>
      <c r="Y989" t="s">
        <v>40</v>
      </c>
    </row>
    <row r="990" spans="1:25" x14ac:dyDescent="0.3">
      <c r="A990">
        <v>989</v>
      </c>
      <c r="B990" t="s">
        <v>119</v>
      </c>
      <c r="C990" t="s">
        <v>381</v>
      </c>
      <c r="D990" t="s">
        <v>54</v>
      </c>
      <c r="E990" t="s">
        <v>28</v>
      </c>
      <c r="F990">
        <v>3</v>
      </c>
      <c r="G990">
        <v>120</v>
      </c>
      <c r="H990">
        <v>360</v>
      </c>
      <c r="I990">
        <v>50</v>
      </c>
      <c r="J990">
        <v>150</v>
      </c>
      <c r="K990">
        <v>210</v>
      </c>
      <c r="L990" t="s">
        <v>37</v>
      </c>
      <c r="M990" t="s">
        <v>56</v>
      </c>
      <c r="N990" t="s">
        <v>51</v>
      </c>
      <c r="O990">
        <v>22.92</v>
      </c>
      <c r="P990">
        <v>51.3</v>
      </c>
      <c r="Q990">
        <v>13.26</v>
      </c>
      <c r="R990">
        <v>23.11</v>
      </c>
      <c r="S990">
        <v>2.76</v>
      </c>
      <c r="T990">
        <v>9.42</v>
      </c>
      <c r="U990">
        <v>6.44</v>
      </c>
      <c r="V990">
        <v>2.12</v>
      </c>
      <c r="W990">
        <v>78.67</v>
      </c>
      <c r="X990" t="s">
        <v>66</v>
      </c>
      <c r="Y990" t="s">
        <v>40</v>
      </c>
    </row>
    <row r="991" spans="1:25" x14ac:dyDescent="0.3">
      <c r="A991">
        <v>990</v>
      </c>
      <c r="B991" t="s">
        <v>394</v>
      </c>
      <c r="C991" t="s">
        <v>479</v>
      </c>
      <c r="D991" t="s">
        <v>36</v>
      </c>
      <c r="E991" t="s">
        <v>28</v>
      </c>
      <c r="F991">
        <v>3</v>
      </c>
      <c r="G991">
        <v>220</v>
      </c>
      <c r="H991">
        <v>660</v>
      </c>
      <c r="I991">
        <v>100</v>
      </c>
      <c r="J991">
        <v>300</v>
      </c>
      <c r="K991">
        <v>360</v>
      </c>
      <c r="L991" t="s">
        <v>86</v>
      </c>
      <c r="M991" t="s">
        <v>30</v>
      </c>
      <c r="N991" t="s">
        <v>46</v>
      </c>
      <c r="O991">
        <v>28.7</v>
      </c>
      <c r="P991">
        <v>26.58</v>
      </c>
      <c r="Q991">
        <v>19.66</v>
      </c>
      <c r="R991">
        <v>19.59</v>
      </c>
      <c r="S991">
        <v>4.13</v>
      </c>
      <c r="T991">
        <v>3.62</v>
      </c>
      <c r="U991">
        <v>3.87</v>
      </c>
      <c r="V991">
        <v>1.48</v>
      </c>
      <c r="W991">
        <v>252.37</v>
      </c>
      <c r="X991" t="s">
        <v>57</v>
      </c>
      <c r="Y991" t="s">
        <v>40</v>
      </c>
    </row>
    <row r="992" spans="1:25" x14ac:dyDescent="0.3">
      <c r="A992">
        <v>991</v>
      </c>
      <c r="B992" t="s">
        <v>227</v>
      </c>
      <c r="C992" t="s">
        <v>395</v>
      </c>
      <c r="D992" t="s">
        <v>43</v>
      </c>
      <c r="E992" t="s">
        <v>43</v>
      </c>
      <c r="F992">
        <v>1</v>
      </c>
      <c r="G992">
        <v>80</v>
      </c>
      <c r="H992">
        <v>80</v>
      </c>
      <c r="I992">
        <v>30</v>
      </c>
      <c r="J992">
        <v>30</v>
      </c>
      <c r="K992">
        <v>50</v>
      </c>
      <c r="L992" t="s">
        <v>29</v>
      </c>
      <c r="M992" t="s">
        <v>30</v>
      </c>
      <c r="N992" t="s">
        <v>46</v>
      </c>
      <c r="O992">
        <v>16.13</v>
      </c>
      <c r="P992">
        <v>25.22</v>
      </c>
      <c r="Q992">
        <v>8.92</v>
      </c>
      <c r="R992">
        <v>0.71</v>
      </c>
      <c r="S992">
        <v>1.46</v>
      </c>
      <c r="T992">
        <v>12.86</v>
      </c>
      <c r="U992">
        <v>3.77</v>
      </c>
      <c r="V992">
        <v>2.79</v>
      </c>
      <c r="W992">
        <v>-21.86</v>
      </c>
      <c r="X992" t="s">
        <v>57</v>
      </c>
      <c r="Y992" t="s">
        <v>33</v>
      </c>
    </row>
    <row r="993" spans="1:25" x14ac:dyDescent="0.3">
      <c r="A993">
        <v>992</v>
      </c>
      <c r="B993" t="s">
        <v>215</v>
      </c>
      <c r="C993" t="s">
        <v>468</v>
      </c>
      <c r="D993" t="s">
        <v>109</v>
      </c>
      <c r="E993" t="s">
        <v>50</v>
      </c>
      <c r="F993">
        <v>1</v>
      </c>
      <c r="G993">
        <v>150</v>
      </c>
      <c r="H993">
        <v>150</v>
      </c>
      <c r="I993">
        <v>70</v>
      </c>
      <c r="J993">
        <v>70</v>
      </c>
      <c r="K993">
        <v>80</v>
      </c>
      <c r="L993" t="s">
        <v>86</v>
      </c>
      <c r="M993" t="s">
        <v>30</v>
      </c>
      <c r="N993" t="s">
        <v>90</v>
      </c>
      <c r="O993">
        <v>39.590000000000003</v>
      </c>
      <c r="P993">
        <v>47.24</v>
      </c>
      <c r="Q993">
        <v>9.69</v>
      </c>
      <c r="R993">
        <v>6.58</v>
      </c>
      <c r="S993">
        <v>3.71</v>
      </c>
      <c r="T993">
        <v>13.18</v>
      </c>
      <c r="U993">
        <v>6.11</v>
      </c>
      <c r="V993">
        <v>2</v>
      </c>
      <c r="W993">
        <v>-48.1</v>
      </c>
      <c r="X993" t="s">
        <v>66</v>
      </c>
      <c r="Y993" t="s">
        <v>33</v>
      </c>
    </row>
    <row r="994" spans="1:25" x14ac:dyDescent="0.3">
      <c r="A994">
        <v>993</v>
      </c>
      <c r="B994" t="s">
        <v>130</v>
      </c>
      <c r="C994" t="s">
        <v>559</v>
      </c>
      <c r="D994" t="s">
        <v>36</v>
      </c>
      <c r="E994" t="s">
        <v>28</v>
      </c>
      <c r="F994">
        <v>2</v>
      </c>
      <c r="G994">
        <v>220</v>
      </c>
      <c r="H994">
        <v>440</v>
      </c>
      <c r="I994">
        <v>100</v>
      </c>
      <c r="J994">
        <v>200</v>
      </c>
      <c r="K994">
        <v>240</v>
      </c>
      <c r="L994" t="s">
        <v>55</v>
      </c>
      <c r="M994" t="s">
        <v>38</v>
      </c>
      <c r="N994" t="s">
        <v>31</v>
      </c>
      <c r="O994">
        <v>29.33</v>
      </c>
      <c r="P994">
        <v>22.11</v>
      </c>
      <c r="Q994">
        <v>5.53</v>
      </c>
      <c r="R994">
        <v>21.31</v>
      </c>
      <c r="S994">
        <v>1.75</v>
      </c>
      <c r="T994">
        <v>10.210000000000001</v>
      </c>
      <c r="U994">
        <v>2.44</v>
      </c>
      <c r="V994">
        <v>2.88</v>
      </c>
      <c r="W994">
        <v>144.44</v>
      </c>
      <c r="X994" t="s">
        <v>57</v>
      </c>
      <c r="Y994" t="s">
        <v>33</v>
      </c>
    </row>
    <row r="995" spans="1:25" x14ac:dyDescent="0.3">
      <c r="A995">
        <v>994</v>
      </c>
      <c r="B995" t="s">
        <v>300</v>
      </c>
      <c r="C995" t="s">
        <v>528</v>
      </c>
      <c r="D995" t="s">
        <v>43</v>
      </c>
      <c r="E995" t="s">
        <v>43</v>
      </c>
      <c r="F995">
        <v>3</v>
      </c>
      <c r="G995">
        <v>80</v>
      </c>
      <c r="H995">
        <v>240</v>
      </c>
      <c r="I995">
        <v>30</v>
      </c>
      <c r="J995">
        <v>90</v>
      </c>
      <c r="K995">
        <v>150</v>
      </c>
      <c r="L995" t="s">
        <v>29</v>
      </c>
      <c r="M995" t="s">
        <v>63</v>
      </c>
      <c r="N995" t="s">
        <v>51</v>
      </c>
      <c r="O995">
        <v>25.19</v>
      </c>
      <c r="P995">
        <v>20.09</v>
      </c>
      <c r="Q995">
        <v>11.62</v>
      </c>
      <c r="R995">
        <v>1.53</v>
      </c>
      <c r="S995">
        <v>0.02</v>
      </c>
      <c r="T995">
        <v>3.83</v>
      </c>
      <c r="U995">
        <v>3.48</v>
      </c>
      <c r="V995">
        <v>2.46</v>
      </c>
      <c r="W995">
        <v>81.78</v>
      </c>
      <c r="X995" t="s">
        <v>66</v>
      </c>
      <c r="Y995" t="s">
        <v>40</v>
      </c>
    </row>
    <row r="996" spans="1:25" x14ac:dyDescent="0.3">
      <c r="A996">
        <v>995</v>
      </c>
      <c r="B996" t="s">
        <v>279</v>
      </c>
      <c r="C996" t="s">
        <v>158</v>
      </c>
      <c r="D996" t="s">
        <v>62</v>
      </c>
      <c r="E996" t="s">
        <v>28</v>
      </c>
      <c r="F996">
        <v>1</v>
      </c>
      <c r="G996">
        <v>250</v>
      </c>
      <c r="H996">
        <v>250</v>
      </c>
      <c r="I996">
        <v>110</v>
      </c>
      <c r="J996">
        <v>110</v>
      </c>
      <c r="K996">
        <v>140</v>
      </c>
      <c r="L996" t="s">
        <v>55</v>
      </c>
      <c r="M996" t="s">
        <v>30</v>
      </c>
      <c r="N996" t="s">
        <v>51</v>
      </c>
      <c r="O996">
        <v>22.62</v>
      </c>
      <c r="P996">
        <v>26.93</v>
      </c>
      <c r="Q996">
        <v>14.63</v>
      </c>
      <c r="R996">
        <v>8.51</v>
      </c>
      <c r="S996">
        <v>4.4800000000000004</v>
      </c>
      <c r="T996">
        <v>9.75</v>
      </c>
      <c r="U996">
        <v>5.85</v>
      </c>
      <c r="V996">
        <v>1.1599999999999999</v>
      </c>
      <c r="W996">
        <v>46.07</v>
      </c>
      <c r="X996" t="s">
        <v>66</v>
      </c>
      <c r="Y996" t="s">
        <v>40</v>
      </c>
    </row>
    <row r="997" spans="1:25" x14ac:dyDescent="0.3">
      <c r="A997">
        <v>996</v>
      </c>
      <c r="B997" t="s">
        <v>306</v>
      </c>
      <c r="C997" t="s">
        <v>160</v>
      </c>
      <c r="D997" t="s">
        <v>27</v>
      </c>
      <c r="E997" t="s">
        <v>28</v>
      </c>
      <c r="F997">
        <v>4</v>
      </c>
      <c r="G997">
        <v>200</v>
      </c>
      <c r="H997">
        <v>800</v>
      </c>
      <c r="I997">
        <v>90</v>
      </c>
      <c r="J997">
        <v>360</v>
      </c>
      <c r="K997">
        <v>440</v>
      </c>
      <c r="L997" t="s">
        <v>29</v>
      </c>
      <c r="M997" t="s">
        <v>63</v>
      </c>
      <c r="N997" t="s">
        <v>81</v>
      </c>
      <c r="O997">
        <v>37.28</v>
      </c>
      <c r="P997">
        <v>30.27</v>
      </c>
      <c r="Q997">
        <v>6.88</v>
      </c>
      <c r="R997">
        <v>4.37</v>
      </c>
      <c r="S997">
        <v>1.02</v>
      </c>
      <c r="T997">
        <v>8.93</v>
      </c>
      <c r="U997">
        <v>1.39</v>
      </c>
      <c r="V997">
        <v>2.91</v>
      </c>
      <c r="W997">
        <v>346.95</v>
      </c>
      <c r="X997" t="s">
        <v>32</v>
      </c>
      <c r="Y997" t="s">
        <v>33</v>
      </c>
    </row>
    <row r="998" spans="1:25" x14ac:dyDescent="0.3">
      <c r="A998">
        <v>997</v>
      </c>
      <c r="B998" t="s">
        <v>320</v>
      </c>
      <c r="C998" t="s">
        <v>217</v>
      </c>
      <c r="D998" t="s">
        <v>36</v>
      </c>
      <c r="E998" t="s">
        <v>28</v>
      </c>
      <c r="F998">
        <v>4</v>
      </c>
      <c r="G998">
        <v>220</v>
      </c>
      <c r="H998">
        <v>880</v>
      </c>
      <c r="I998">
        <v>100</v>
      </c>
      <c r="J998">
        <v>400</v>
      </c>
      <c r="K998">
        <v>480</v>
      </c>
      <c r="L998" t="s">
        <v>55</v>
      </c>
      <c r="M998" t="s">
        <v>45</v>
      </c>
      <c r="N998" t="s">
        <v>90</v>
      </c>
      <c r="O998">
        <v>15.58</v>
      </c>
      <c r="P998">
        <v>43.28</v>
      </c>
      <c r="Q998">
        <v>5.47</v>
      </c>
      <c r="R998">
        <v>23.98</v>
      </c>
      <c r="S998">
        <v>0.92</v>
      </c>
      <c r="T998">
        <v>14.96</v>
      </c>
      <c r="U998">
        <v>3.62</v>
      </c>
      <c r="V998">
        <v>1.78</v>
      </c>
      <c r="W998">
        <v>370.41</v>
      </c>
      <c r="X998" t="s">
        <v>57</v>
      </c>
      <c r="Y998" t="s">
        <v>40</v>
      </c>
    </row>
    <row r="999" spans="1:25" x14ac:dyDescent="0.3">
      <c r="A999">
        <v>998</v>
      </c>
      <c r="B999" t="s">
        <v>533</v>
      </c>
      <c r="C999" t="s">
        <v>537</v>
      </c>
      <c r="D999" t="s">
        <v>109</v>
      </c>
      <c r="E999" t="s">
        <v>50</v>
      </c>
      <c r="F999">
        <v>2</v>
      </c>
      <c r="G999">
        <v>150</v>
      </c>
      <c r="H999">
        <v>300</v>
      </c>
      <c r="I999">
        <v>70</v>
      </c>
      <c r="J999">
        <v>140</v>
      </c>
      <c r="K999">
        <v>160</v>
      </c>
      <c r="L999" t="s">
        <v>55</v>
      </c>
      <c r="M999" t="s">
        <v>56</v>
      </c>
      <c r="N999" t="s">
        <v>51</v>
      </c>
      <c r="O999">
        <v>33.299999999999997</v>
      </c>
      <c r="P999">
        <v>55.07</v>
      </c>
      <c r="Q999">
        <v>16.78</v>
      </c>
      <c r="R999">
        <v>26.44</v>
      </c>
      <c r="S999">
        <v>3.47</v>
      </c>
      <c r="T999">
        <v>8.19</v>
      </c>
      <c r="U999">
        <v>1.49</v>
      </c>
      <c r="V999">
        <v>1.3</v>
      </c>
      <c r="W999">
        <v>13.96</v>
      </c>
      <c r="X999" t="s">
        <v>57</v>
      </c>
      <c r="Y999" t="s">
        <v>40</v>
      </c>
    </row>
    <row r="1000" spans="1:25" x14ac:dyDescent="0.3">
      <c r="A1000">
        <v>999</v>
      </c>
      <c r="B1000" t="s">
        <v>513</v>
      </c>
      <c r="C1000" t="s">
        <v>560</v>
      </c>
      <c r="D1000" t="s">
        <v>43</v>
      </c>
      <c r="E1000" t="s">
        <v>43</v>
      </c>
      <c r="F1000">
        <v>3</v>
      </c>
      <c r="G1000">
        <v>80</v>
      </c>
      <c r="H1000">
        <v>240</v>
      </c>
      <c r="I1000">
        <v>30</v>
      </c>
      <c r="J1000">
        <v>90</v>
      </c>
      <c r="K1000">
        <v>150</v>
      </c>
      <c r="L1000" t="s">
        <v>37</v>
      </c>
      <c r="M1000" t="s">
        <v>63</v>
      </c>
      <c r="N1000" t="s">
        <v>39</v>
      </c>
      <c r="O1000">
        <v>32.659999999999997</v>
      </c>
      <c r="P1000">
        <v>32.619999999999997</v>
      </c>
      <c r="Q1000">
        <v>19.07</v>
      </c>
      <c r="R1000">
        <v>33.36</v>
      </c>
      <c r="S1000">
        <v>1.88</v>
      </c>
      <c r="T1000">
        <v>12.96</v>
      </c>
      <c r="U1000">
        <v>1.88</v>
      </c>
      <c r="V1000">
        <v>1.74</v>
      </c>
      <c r="W1000">
        <v>13.83</v>
      </c>
      <c r="X1000" t="s">
        <v>32</v>
      </c>
      <c r="Y1000" t="s">
        <v>40</v>
      </c>
    </row>
    <row r="1001" spans="1:25" x14ac:dyDescent="0.3">
      <c r="A1001">
        <v>1000</v>
      </c>
      <c r="B1001" t="s">
        <v>91</v>
      </c>
      <c r="C1001" t="s">
        <v>555</v>
      </c>
      <c r="D1001" t="s">
        <v>27</v>
      </c>
      <c r="E1001" t="s">
        <v>28</v>
      </c>
      <c r="F1001">
        <v>3</v>
      </c>
      <c r="G1001">
        <v>200</v>
      </c>
      <c r="H1001">
        <v>600</v>
      </c>
      <c r="I1001">
        <v>90</v>
      </c>
      <c r="J1001">
        <v>270</v>
      </c>
      <c r="K1001">
        <v>330</v>
      </c>
      <c r="L1001" t="s">
        <v>86</v>
      </c>
      <c r="M1001" t="s">
        <v>30</v>
      </c>
      <c r="N1001" t="s">
        <v>81</v>
      </c>
      <c r="O1001">
        <v>29.33</v>
      </c>
      <c r="P1001">
        <v>59.22</v>
      </c>
      <c r="Q1001">
        <v>19.77</v>
      </c>
      <c r="R1001">
        <v>12.33</v>
      </c>
      <c r="S1001">
        <v>3.54</v>
      </c>
      <c r="T1001">
        <v>12.8</v>
      </c>
      <c r="U1001">
        <v>6.81</v>
      </c>
      <c r="V1001">
        <v>0.28999999999999998</v>
      </c>
      <c r="W1001">
        <v>185.91</v>
      </c>
      <c r="X1001" t="s">
        <v>66</v>
      </c>
      <c r="Y1001" t="s">
        <v>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workbookViewId="0">
      <selection activeCell="B8" sqref="B8"/>
    </sheetView>
  </sheetViews>
  <sheetFormatPr defaultRowHeight="14.4" x14ac:dyDescent="0.3"/>
  <cols>
    <col min="1" max="1" width="26.6640625" customWidth="1"/>
    <col min="2" max="2" width="50.109375" customWidth="1"/>
  </cols>
  <sheetData>
    <row r="1" spans="1:2" x14ac:dyDescent="0.3">
      <c r="A1" t="s">
        <v>7</v>
      </c>
      <c r="B1" t="s">
        <v>580</v>
      </c>
    </row>
    <row r="2" spans="1:2" x14ac:dyDescent="0.3">
      <c r="A2" t="s">
        <v>9</v>
      </c>
      <c r="B2" t="s">
        <v>581</v>
      </c>
    </row>
    <row r="3" spans="1:2" x14ac:dyDescent="0.3">
      <c r="A3" t="s">
        <v>582</v>
      </c>
      <c r="B3" t="s">
        <v>583</v>
      </c>
    </row>
    <row r="4" spans="1:2" x14ac:dyDescent="0.3">
      <c r="A4" t="s">
        <v>584</v>
      </c>
      <c r="B4" t="s">
        <v>585</v>
      </c>
    </row>
    <row r="5" spans="1:2" x14ac:dyDescent="0.3">
      <c r="A5" t="s">
        <v>586</v>
      </c>
      <c r="B5" t="s">
        <v>587</v>
      </c>
    </row>
    <row r="6" spans="1:2" x14ac:dyDescent="0.3">
      <c r="A6" t="s">
        <v>588</v>
      </c>
      <c r="B6" t="s">
        <v>589</v>
      </c>
    </row>
    <row r="7" spans="1:2" x14ac:dyDescent="0.3">
      <c r="A7" t="s">
        <v>590</v>
      </c>
      <c r="B7" t="s">
        <v>591</v>
      </c>
    </row>
    <row r="8" spans="1:2" x14ac:dyDescent="0.3">
      <c r="A8" t="s">
        <v>592</v>
      </c>
      <c r="B8" t="s">
        <v>593</v>
      </c>
    </row>
    <row r="9" spans="1:2" x14ac:dyDescent="0.3">
      <c r="A9" t="s">
        <v>594</v>
      </c>
      <c r="B9" t="s">
        <v>595</v>
      </c>
    </row>
    <row r="10" spans="1:2" x14ac:dyDescent="0.3">
      <c r="A10" t="s">
        <v>596</v>
      </c>
      <c r="B10" t="s">
        <v>597</v>
      </c>
    </row>
    <row r="11" spans="1:2" x14ac:dyDescent="0.3">
      <c r="A11" t="s">
        <v>598</v>
      </c>
      <c r="B11" t="s">
        <v>599</v>
      </c>
    </row>
    <row r="12" spans="1:2" x14ac:dyDescent="0.3">
      <c r="A12" t="s">
        <v>600</v>
      </c>
      <c r="B12" t="s">
        <v>601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Sheet1</vt:lpstr>
      <vt:lpstr>Assignment</vt:lpstr>
      <vt:lpstr>Transactions</vt:lpstr>
      <vt:lpstr>Formula_Guide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 Reshma</cp:lastModifiedBy>
  <dcterms:created xsi:type="dcterms:W3CDTF">2026-07-21T07:44:57Z</dcterms:created>
  <dcterms:modified xsi:type="dcterms:W3CDTF">2026-08-06T12:45:46Z</dcterms:modified>
</cp:coreProperties>
</file>